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aetan\Documents\GitHub\Prjt_M1\"/>
    </mc:Choice>
  </mc:AlternateContent>
  <bookViews>
    <workbookView xWindow="600" yWindow="375" windowWidth="14760" windowHeight="6360" tabRatio="741" activeTab="1"/>
  </bookViews>
  <sheets>
    <sheet name="PROJET" sheetId="6" r:id="rId1"/>
    <sheet name="Backlog Produit" sheetId="1" r:id="rId2"/>
    <sheet name="Paramètres" sheetId="5" r:id="rId3"/>
    <sheet name="Board  Trello" sheetId="4" r:id="rId4"/>
  </sheets>
  <definedNames>
    <definedName name="_xlnm._FilterDatabase" localSheetId="1" hidden="1">'Backlog Produit'!$A$3:$K$3</definedName>
    <definedName name="cat">Paramètres!$A$2:$A$16</definedName>
    <definedName name="Caté">Paramètres!$A$2:$A$16</definedName>
    <definedName name="etapes">PROJET!$C$13:$C$18</definedName>
    <definedName name="Priorité">Paramètres!$I$2:$I$16</definedName>
    <definedName name="ressources">Paramètres!$G$2:$G$10</definedName>
    <definedName name="selection">Paramètres!$E$2:$E$4</definedName>
    <definedName name="SousCaté">Paramètres!$C$2:$C$16</definedName>
    <definedName name="Statut">Paramètres!$E$2:$E$6</definedName>
    <definedName name="toto">Paramètres!$E$2:$E$3</definedName>
    <definedName name="_xlnm.Print_Area" localSheetId="1">Tableau1[[#All],[Sprint]:[Critères de Vérification]]</definedName>
  </definedNames>
  <calcPr calcId="152511" concurrentCalc="0"/>
</workbook>
</file>

<file path=xl/calcChain.xml><?xml version="1.0" encoding="utf-8"?>
<calcChain xmlns="http://schemas.openxmlformats.org/spreadsheetml/2006/main">
  <c r="F42" i="1" l="1"/>
  <c r="K42" i="1"/>
</calcChain>
</file>

<file path=xl/sharedStrings.xml><?xml version="1.0" encoding="utf-8"?>
<sst xmlns="http://schemas.openxmlformats.org/spreadsheetml/2006/main" count="231" uniqueCount="108">
  <si>
    <t>Catégorie</t>
  </si>
  <si>
    <t>Estimation</t>
  </si>
  <si>
    <t>Notes</t>
  </si>
  <si>
    <t>Bug</t>
  </si>
  <si>
    <t>Status</t>
  </si>
  <si>
    <t>Selection</t>
  </si>
  <si>
    <t>SPRINT</t>
  </si>
  <si>
    <t>Demo</t>
  </si>
  <si>
    <t>DD/MM/YY</t>
  </si>
  <si>
    <t>Stand-up</t>
  </si>
  <si>
    <t>Sprint</t>
  </si>
  <si>
    <t>Importance</t>
  </si>
  <si>
    <t>SPRINT EN COURS</t>
  </si>
  <si>
    <t>Projet</t>
  </si>
  <si>
    <t>Échéance</t>
  </si>
  <si>
    <t>Budget</t>
  </si>
  <si>
    <t>Durée</t>
  </si>
  <si>
    <t>Etapes</t>
  </si>
  <si>
    <t>Ressources</t>
  </si>
  <si>
    <t>Sous catégorie</t>
  </si>
  <si>
    <t>Total</t>
  </si>
  <si>
    <t>En cours</t>
  </si>
  <si>
    <t>7 days</t>
  </si>
  <si>
    <t>8h30</t>
  </si>
  <si>
    <t xml:space="preserve">ETAPES DU PROJET </t>
  </si>
  <si>
    <t>Nom 1</t>
  </si>
  <si>
    <t>Nom 2</t>
  </si>
  <si>
    <t>Nom 3</t>
  </si>
  <si>
    <t>Nom 4</t>
  </si>
  <si>
    <t>Extérieur 1</t>
  </si>
  <si>
    <t>Extérieur 2</t>
  </si>
  <si>
    <t>Extérieur 3</t>
  </si>
  <si>
    <t>Développement fonction…</t>
  </si>
  <si>
    <t>Recherche documentaire…</t>
  </si>
  <si>
    <t>Expert Comptable</t>
  </si>
  <si>
    <t>Expert Juridique</t>
  </si>
  <si>
    <t>Personne En Charge</t>
  </si>
  <si>
    <t>Sous catégories</t>
  </si>
  <si>
    <t>Catégories</t>
  </si>
  <si>
    <t>Dev Logiciel</t>
  </si>
  <si>
    <t>Priorité</t>
  </si>
  <si>
    <t>Nom / Description</t>
  </si>
  <si>
    <t>Critères de Vérification</t>
  </si>
  <si>
    <t>Terminée</t>
  </si>
  <si>
    <t>Validée</t>
  </si>
  <si>
    <t>BACKLOG PRODUIT</t>
  </si>
  <si>
    <t>Exemple Board Trello</t>
  </si>
  <si>
    <t xml:space="preserve">etat de l'art - c2o </t>
  </si>
  <si>
    <t>etat de l'art - descripteur classique</t>
  </si>
  <si>
    <t>etat de l'art - point clé intro</t>
  </si>
  <si>
    <t>presentation équipe scientifique</t>
  </si>
  <si>
    <t>HULK - contact avec le responsable</t>
  </si>
  <si>
    <t>HULK - apprentissage</t>
  </si>
  <si>
    <t>construction BDD</t>
  </si>
  <si>
    <t>SIFT - codage</t>
  </si>
  <si>
    <t>SIFT - test/calcul</t>
  </si>
  <si>
    <t>??</t>
  </si>
  <si>
    <t>C2o - codage</t>
  </si>
  <si>
    <t>C2o - document technique</t>
  </si>
  <si>
    <t>C2o - HULK</t>
  </si>
  <si>
    <t>C2o - codage distance</t>
  </si>
  <si>
    <t>CLEF metrics - codage</t>
  </si>
  <si>
    <t>classification - analyse</t>
  </si>
  <si>
    <t>classification - codage</t>
  </si>
  <si>
    <t>classification - test</t>
  </si>
  <si>
    <t>CLEF metrics - calcul</t>
  </si>
  <si>
    <t>C2o - debugage</t>
  </si>
  <si>
    <t xml:space="preserve">Integration le calcul des descripteur dans le processus </t>
  </si>
  <si>
    <t>étendre l'automatisation du processus à l'echelle de la base CLEF</t>
  </si>
  <si>
    <t>XML - apprentissage python</t>
  </si>
  <si>
    <t>XML - formalisme du document pour les descripteurs</t>
  </si>
  <si>
    <t xml:space="preserve">HULK - documentation </t>
  </si>
  <si>
    <t>construction BDD - doc</t>
  </si>
  <si>
    <t>XLM - doc</t>
  </si>
  <si>
    <t>SIFT - doc</t>
  </si>
  <si>
    <t>documentation sur le processus "complet"</t>
  </si>
  <si>
    <t>SIFT variantes - doc</t>
  </si>
  <si>
    <t>classification - doc</t>
  </si>
  <si>
    <t>CLEF metrics - doc</t>
  </si>
  <si>
    <t>Ecriture du document final - synthèse des docs</t>
  </si>
  <si>
    <t>Présentation - ecriture</t>
  </si>
  <si>
    <t>SIFT - codage des variantes</t>
  </si>
  <si>
    <t>Rapport</t>
  </si>
  <si>
    <t>Présentation</t>
  </si>
  <si>
    <t>Ecriture validée</t>
  </si>
  <si>
    <t>Présentation - préparation</t>
  </si>
  <si>
    <t>Test</t>
  </si>
  <si>
    <t>Redaction documentation</t>
  </si>
  <si>
    <t xml:space="preserve">SIFT - calcul sur HULK </t>
  </si>
  <si>
    <t>Objectif</t>
  </si>
  <si>
    <t>M1 RTMA 01 - Contest CLEF 2015</t>
  </si>
  <si>
    <t>Classification d'images naturelles</t>
  </si>
  <si>
    <t>5 semaines</t>
  </si>
  <si>
    <t>livrables (9 juin) / présentation (15 juin)</t>
  </si>
  <si>
    <t>présentation au client</t>
  </si>
  <si>
    <t>comparaison avec des résultats types</t>
  </si>
  <si>
    <t>calcul avec la metrique CLEF</t>
  </si>
  <si>
    <t>présentation à l'ensemble des acteurs du projet</t>
  </si>
  <si>
    <t>présentation à l'équipe pédagogique</t>
  </si>
  <si>
    <t>A faire</t>
  </si>
  <si>
    <t>Développement fonction</t>
  </si>
  <si>
    <t>Recherche documentaire</t>
  </si>
  <si>
    <t>Acteur</t>
  </si>
  <si>
    <t xml:space="preserve">Etienne </t>
  </si>
  <si>
    <t>Gaëtan</t>
  </si>
  <si>
    <t>Ibrihima / Thomas</t>
  </si>
  <si>
    <t>C2o - analyse</t>
  </si>
  <si>
    <t>Thomas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</si>
</sst>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6" x14ac:knownFonts="1">
    <font>
      <sz val="11"/>
      <color theme="1"/>
      <name val="Calibri"/>
      <family val="2"/>
      <scheme val="minor"/>
    </font>
    <font>
      <b/>
      <sz val="11"/>
      <color theme="1" tint="0.34998626667073579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theme="1"/>
      <name val="Arial"/>
      <family val="2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i/>
      <sz val="36"/>
      <color rgb="FFFFC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4"/>
      <color theme="4" tint="-0.249977111117893"/>
      <name val="Calibri"/>
      <family val="2"/>
      <scheme val="minor"/>
    </font>
    <font>
      <i/>
      <sz val="14"/>
      <color rgb="FFFFC000"/>
      <name val="Calibri"/>
      <family val="2"/>
      <scheme val="minor"/>
    </font>
    <font>
      <b/>
      <sz val="24"/>
      <color theme="0"/>
      <name val="Calibri"/>
      <family val="2"/>
      <scheme val="minor"/>
    </font>
    <font>
      <sz val="11"/>
      <color theme="1" tint="0.34998626667073579"/>
      <name val="Calibri"/>
      <family val="2"/>
      <scheme val="minor"/>
    </font>
    <font>
      <sz val="11"/>
      <color rgb="FF000000"/>
      <name val="Calibri"/>
      <family val="2"/>
    </font>
    <font>
      <b/>
      <sz val="16"/>
      <color theme="1"/>
      <name val="Calibri"/>
      <family val="2"/>
      <scheme val="minor"/>
    </font>
    <font>
      <i/>
      <sz val="14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scheme val="minor"/>
    </font>
    <font>
      <sz val="11"/>
      <color rgb="FF000000"/>
      <name val="Calibri"/>
    </font>
    <font>
      <sz val="10"/>
      <color theme="1"/>
      <name val="Arial"/>
    </font>
    <font>
      <b/>
      <i/>
      <sz val="36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6" fillId="0" borderId="0" applyNumberFormat="0" applyFill="0" applyBorder="0" applyAlignment="0" applyProtection="0"/>
    <xf numFmtId="0" fontId="8" fillId="4" borderId="0" applyNumberFormat="0" applyBorder="0" applyAlignment="0" applyProtection="0"/>
  </cellStyleXfs>
  <cellXfs count="68">
    <xf numFmtId="0" fontId="0" fillId="0" borderId="0" xfId="0"/>
    <xf numFmtId="0" fontId="0" fillId="0" borderId="1" xfId="0" applyBorder="1"/>
    <xf numFmtId="0" fontId="0" fillId="0" borderId="3" xfId="0" applyBorder="1"/>
    <xf numFmtId="0" fontId="0" fillId="0" borderId="1" xfId="0" applyFont="1" applyFill="1" applyBorder="1" applyAlignment="1">
      <alignment vertical="center" wrapText="1"/>
    </xf>
    <xf numFmtId="0" fontId="3" fillId="0" borderId="1" xfId="0" applyFont="1" applyFill="1" applyBorder="1" applyAlignment="1">
      <alignment vertical="center" wrapText="1"/>
    </xf>
    <xf numFmtId="0" fontId="3" fillId="0" borderId="1" xfId="0" applyFont="1" applyFill="1" applyBorder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9" fillId="4" borderId="4" xfId="2" applyFont="1" applyBorder="1" applyAlignment="1">
      <alignment wrapText="1"/>
    </xf>
    <xf numFmtId="0" fontId="9" fillId="4" borderId="5" xfId="2" applyFont="1" applyBorder="1" applyAlignment="1">
      <alignment wrapText="1"/>
    </xf>
    <xf numFmtId="15" fontId="9" fillId="4" borderId="5" xfId="2" applyNumberFormat="1" applyFont="1" applyBorder="1" applyAlignment="1">
      <alignment horizontal="left" wrapText="1"/>
    </xf>
    <xf numFmtId="0" fontId="6" fillId="0" borderId="6" xfId="1" applyBorder="1" applyAlignment="1">
      <alignment horizontal="left" vertical="center"/>
    </xf>
    <xf numFmtId="0" fontId="6" fillId="0" borderId="7" xfId="1" applyBorder="1" applyAlignment="1">
      <alignment horizontal="left" vertical="center"/>
    </xf>
    <xf numFmtId="0" fontId="6" fillId="0" borderId="8" xfId="1" applyBorder="1" applyAlignment="1">
      <alignment horizontal="left" vertical="center"/>
    </xf>
    <xf numFmtId="0" fontId="9" fillId="4" borderId="9" xfId="2" applyFont="1" applyBorder="1" applyAlignment="1">
      <alignment wrapText="1"/>
    </xf>
    <xf numFmtId="0" fontId="7" fillId="0" borderId="0" xfId="0" applyFont="1" applyAlignment="1">
      <alignment horizontal="center"/>
    </xf>
    <xf numFmtId="0" fontId="0" fillId="0" borderId="1" xfId="0" applyBorder="1" applyAlignment="1">
      <alignment vertical="center" wrapText="1"/>
    </xf>
    <xf numFmtId="0" fontId="0" fillId="0" borderId="1" xfId="0" applyBorder="1" applyAlignment="1">
      <alignment horizontal="left" vertical="center" wrapText="1"/>
    </xf>
    <xf numFmtId="0" fontId="0" fillId="0" borderId="2" xfId="0" applyBorder="1"/>
    <xf numFmtId="0" fontId="0" fillId="0" borderId="0" xfId="0" applyAlignment="1">
      <alignment horizontal="center"/>
    </xf>
    <xf numFmtId="0" fontId="12" fillId="0" borderId="0" xfId="0" applyFont="1"/>
    <xf numFmtId="0" fontId="12" fillId="5" borderId="0" xfId="0" applyFont="1" applyFill="1" applyAlignment="1">
      <alignment horizontal="left" vertical="center"/>
    </xf>
    <xf numFmtId="0" fontId="13" fillId="0" borderId="0" xfId="0" applyFont="1" applyAlignment="1">
      <alignment horizontal="left" vertical="center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wrapText="1"/>
    </xf>
    <xf numFmtId="0" fontId="0" fillId="0" borderId="1" xfId="0" applyBorder="1" applyAlignment="1">
      <alignment horizontal="center" wrapText="1"/>
    </xf>
    <xf numFmtId="0" fontId="7" fillId="0" borderId="1" xfId="0" applyFont="1" applyBorder="1" applyAlignment="1">
      <alignment horizontal="center" wrapText="1"/>
    </xf>
    <xf numFmtId="49" fontId="16" fillId="0" borderId="1" xfId="0" applyNumberFormat="1" applyFont="1" applyFill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17" fillId="6" borderId="0" xfId="0" applyFont="1" applyFill="1" applyAlignment="1">
      <alignment horizontal="left" vertical="center"/>
    </xf>
    <xf numFmtId="0" fontId="17" fillId="6" borderId="0" xfId="0" applyFont="1" applyFill="1"/>
    <xf numFmtId="0" fontId="18" fillId="0" borderId="0" xfId="0" applyFont="1" applyAlignment="1">
      <alignment horizontal="left" vertical="center"/>
    </xf>
    <xf numFmtId="49" fontId="21" fillId="0" borderId="1" xfId="0" applyNumberFormat="1" applyFont="1" applyFill="1" applyBorder="1" applyAlignment="1">
      <alignment horizontal="center" vertical="center" wrapText="1"/>
    </xf>
    <xf numFmtId="0" fontId="22" fillId="0" borderId="0" xfId="0" applyFont="1" applyBorder="1" applyAlignment="1">
      <alignment horizontal="center" wrapText="1"/>
    </xf>
    <xf numFmtId="0" fontId="22" fillId="0" borderId="0" xfId="0" applyFont="1" applyBorder="1" applyAlignment="1">
      <alignment horizontal="center" vertical="center" wrapText="1"/>
    </xf>
    <xf numFmtId="0" fontId="24" fillId="0" borderId="1" xfId="0" applyFont="1" applyFill="1" applyBorder="1" applyAlignment="1">
      <alignment horizontal="left" vertical="center" wrapText="1"/>
    </xf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0" fillId="0" borderId="0" xfId="0" applyBorder="1"/>
    <xf numFmtId="49" fontId="23" fillId="0" borderId="1" xfId="0" applyNumberFormat="1" applyFont="1" applyFill="1" applyBorder="1" applyAlignment="1">
      <alignment horizontal="center" vertical="center" wrapText="1"/>
    </xf>
    <xf numFmtId="0" fontId="19" fillId="0" borderId="0" xfId="0" applyFont="1" applyBorder="1" applyAlignment="1">
      <alignment horizontal="center"/>
    </xf>
    <xf numFmtId="0" fontId="19" fillId="0" borderId="0" xfId="0" applyFont="1" applyBorder="1" applyAlignment="1">
      <alignment horizontal="center" vertical="center" wrapText="1"/>
    </xf>
    <xf numFmtId="0" fontId="20" fillId="0" borderId="0" xfId="0" applyFont="1" applyBorder="1" applyAlignment="1">
      <alignment wrapText="1"/>
    </xf>
    <xf numFmtId="0" fontId="20" fillId="0" borderId="0" xfId="0" applyFont="1" applyBorder="1" applyAlignment="1">
      <alignment vertical="center"/>
    </xf>
    <xf numFmtId="0" fontId="20" fillId="0" borderId="0" xfId="0" applyFont="1" applyBorder="1" applyAlignment="1">
      <alignment horizontal="center" vertical="center"/>
    </xf>
    <xf numFmtId="0" fontId="20" fillId="0" borderId="0" xfId="0" applyFont="1" applyBorder="1"/>
    <xf numFmtId="0" fontId="20" fillId="0" borderId="0" xfId="0" applyFont="1" applyBorder="1" applyAlignment="1">
      <alignment vertical="center" wrapText="1"/>
    </xf>
    <xf numFmtId="0" fontId="2" fillId="2" borderId="0" xfId="0" applyFont="1" applyFill="1" applyBorder="1" applyAlignment="1">
      <alignment horizontal="center" vertical="center" wrapText="1"/>
    </xf>
    <xf numFmtId="0" fontId="14" fillId="2" borderId="0" xfId="0" applyFont="1" applyFill="1" applyBorder="1" applyAlignment="1">
      <alignment horizontal="center" vertical="center" wrapText="1"/>
    </xf>
    <xf numFmtId="0" fontId="10" fillId="2" borderId="0" xfId="0" applyFont="1" applyFill="1" applyBorder="1" applyAlignment="1">
      <alignment horizontal="center" vertical="center"/>
    </xf>
    <xf numFmtId="0" fontId="1" fillId="3" borderId="0" xfId="0" applyFont="1" applyFill="1" applyBorder="1" applyAlignment="1">
      <alignment horizontal="center" vertical="center"/>
    </xf>
    <xf numFmtId="0" fontId="1" fillId="3" borderId="0" xfId="0" applyFont="1" applyFill="1" applyBorder="1" applyAlignment="1">
      <alignment horizontal="center" vertical="center" wrapText="1"/>
    </xf>
    <xf numFmtId="0" fontId="15" fillId="3" borderId="0" xfId="0" applyFont="1" applyFill="1" applyBorder="1" applyAlignment="1">
      <alignment horizontal="center" vertical="center" wrapText="1"/>
    </xf>
    <xf numFmtId="0" fontId="7" fillId="0" borderId="0" xfId="0" applyFont="1" applyBorder="1" applyAlignment="1">
      <alignment horizontal="center" wrapText="1"/>
    </xf>
    <xf numFmtId="0" fontId="7" fillId="0" borderId="0" xfId="0" applyFont="1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0" fillId="0" borderId="0" xfId="0" applyBorder="1" applyAlignment="1">
      <alignment horizontal="center" wrapText="1"/>
    </xf>
    <xf numFmtId="0" fontId="0" fillId="0" borderId="0" xfId="0" applyBorder="1" applyAlignment="1">
      <alignment horizontal="left" vertical="center" wrapText="1"/>
    </xf>
    <xf numFmtId="0" fontId="0" fillId="0" borderId="0" xfId="0" applyBorder="1" applyAlignment="1">
      <alignment vertical="center" wrapText="1"/>
    </xf>
    <xf numFmtId="0" fontId="0" fillId="0" borderId="0" xfId="0" applyBorder="1" applyAlignment="1">
      <alignment wrapText="1"/>
    </xf>
    <xf numFmtId="0" fontId="24" fillId="0" borderId="0" xfId="0" applyFont="1" applyFill="1" applyBorder="1" applyAlignment="1">
      <alignment horizontal="left" vertical="center" wrapText="1"/>
    </xf>
    <xf numFmtId="0" fontId="0" fillId="0" borderId="0" xfId="0" applyFont="1" applyBorder="1" applyAlignment="1">
      <alignment wrapText="1"/>
    </xf>
    <xf numFmtId="0" fontId="23" fillId="0" borderId="0" xfId="0" applyFont="1" applyFill="1" applyBorder="1" applyAlignment="1">
      <alignment horizontal="center" vertical="center" wrapText="1"/>
    </xf>
    <xf numFmtId="0" fontId="7" fillId="0" borderId="0" xfId="0" applyFont="1" applyBorder="1" applyAlignment="1">
      <alignment horizontal="center"/>
    </xf>
    <xf numFmtId="0" fontId="0" fillId="0" borderId="0" xfId="0" applyBorder="1" applyAlignment="1">
      <alignment vertical="center"/>
    </xf>
    <xf numFmtId="0" fontId="0" fillId="0" borderId="0" xfId="0" applyBorder="1" applyAlignment="1">
      <alignment horizontal="center" vertical="center"/>
    </xf>
    <xf numFmtId="0" fontId="11" fillId="0" borderId="1" xfId="0" applyFont="1" applyBorder="1" applyAlignment="1">
      <alignment horizontal="center" vertical="center" wrapText="1"/>
    </xf>
    <xf numFmtId="0" fontId="22" fillId="0" borderId="1" xfId="0" applyFont="1" applyBorder="1" applyAlignment="1">
      <alignment horizontal="center" vertical="center" wrapText="1"/>
    </xf>
    <xf numFmtId="0" fontId="25" fillId="2" borderId="0" xfId="0" applyFont="1" applyFill="1" applyBorder="1" applyAlignment="1">
      <alignment horizontal="center" vertical="center" wrapText="1"/>
    </xf>
  </cellXfs>
  <cellStyles count="3">
    <cellStyle name="60 % - Accent1" xfId="2" builtinId="32"/>
    <cellStyle name="Normal" xfId="0" builtinId="0"/>
    <cellStyle name="Titre" xfId="1" builtinId="15"/>
  </cellStyles>
  <dxfs count="29">
    <dxf>
      <alignment horizontal="general" vertical="bottom" textRotation="0" wrapText="1" indent="0" justifyLastLine="0" shrinkToFit="0" readingOrder="0"/>
      <border diagonalUp="0" diagonalDown="0" outline="0">
        <left/>
        <right/>
        <top/>
        <bottom/>
      </border>
    </dxf>
    <dxf>
      <alignment horizontal="left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alignment horizontal="general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alignment horizontal="left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alignment horizontal="left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alignment horizontal="center" vertical="bottom" textRotation="0" wrapText="1" indent="0" justifyLastLine="0" shrinkToFit="0" readingOrder="0"/>
      <border diagonalUp="0" diagonalDown="0" outline="0">
        <left/>
        <right/>
        <top/>
        <bottom/>
      </border>
    </dxf>
    <dxf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1" indent="0" justifyLastLine="0" shrinkToFit="0" readingOrder="0"/>
      <border diagonalUp="0" diagonalDown="0" outline="0">
        <left/>
        <right/>
        <top/>
        <bottom/>
      </border>
    </dxf>
    <dxf>
      <fill>
        <patternFill>
          <bgColor rgb="FF00B050"/>
        </patternFill>
      </fill>
    </dxf>
    <dxf>
      <fill>
        <patternFill>
          <bgColor theme="6" tint="0.39994506668294322"/>
        </patternFill>
      </fill>
    </dxf>
    <dxf>
      <fill>
        <patternFill patternType="none">
          <bgColor auto="1"/>
        </patternFill>
      </fill>
    </dxf>
    <dxf>
      <alignment textRotation="0" wrapTex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1"/>
        <name val="Calibri"/>
        <scheme val="minor"/>
      </font>
      <alignment horizont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textRotation="0" wrapText="1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Calibri"/>
        <scheme val="minor"/>
      </font>
      <fill>
        <patternFill patternType="solid">
          <fgColor indexed="64"/>
          <bgColor theme="3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276226</xdr:colOff>
      <xdr:row>3</xdr:row>
      <xdr:rowOff>19050</xdr:rowOff>
    </xdr:from>
    <xdr:to>
      <xdr:col>5</xdr:col>
      <xdr:colOff>352426</xdr:colOff>
      <xdr:row>25</xdr:row>
      <xdr:rowOff>28575</xdr:rowOff>
    </xdr:to>
    <xdr:sp macro="" textlink="">
      <xdr:nvSpPr>
        <xdr:cNvPr id="56" name="Rectangle 55"/>
        <xdr:cNvSpPr/>
      </xdr:nvSpPr>
      <xdr:spPr>
        <a:xfrm>
          <a:off x="3324226" y="590550"/>
          <a:ext cx="838200" cy="42005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133351</xdr:colOff>
      <xdr:row>3</xdr:row>
      <xdr:rowOff>19050</xdr:rowOff>
    </xdr:from>
    <xdr:to>
      <xdr:col>2</xdr:col>
      <xdr:colOff>495301</xdr:colOff>
      <xdr:row>25</xdr:row>
      <xdr:rowOff>28575</xdr:rowOff>
    </xdr:to>
    <xdr:sp macro="" textlink="">
      <xdr:nvSpPr>
        <xdr:cNvPr id="3" name="Rectangle 2"/>
        <xdr:cNvSpPr/>
      </xdr:nvSpPr>
      <xdr:spPr>
        <a:xfrm>
          <a:off x="133351" y="590550"/>
          <a:ext cx="1885950" cy="42005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628650</xdr:colOff>
      <xdr:row>3</xdr:row>
      <xdr:rowOff>28575</xdr:rowOff>
    </xdr:from>
    <xdr:to>
      <xdr:col>4</xdr:col>
      <xdr:colOff>238125</xdr:colOff>
      <xdr:row>25</xdr:row>
      <xdr:rowOff>38100</xdr:rowOff>
    </xdr:to>
    <xdr:sp macro="" textlink="">
      <xdr:nvSpPr>
        <xdr:cNvPr id="4" name="Rectangle 3"/>
        <xdr:cNvSpPr/>
      </xdr:nvSpPr>
      <xdr:spPr>
        <a:xfrm>
          <a:off x="2152650" y="600075"/>
          <a:ext cx="1133475" cy="42005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7</xdr:col>
      <xdr:colOff>209548</xdr:colOff>
      <xdr:row>3</xdr:row>
      <xdr:rowOff>9525</xdr:rowOff>
    </xdr:from>
    <xdr:to>
      <xdr:col>9</xdr:col>
      <xdr:colOff>704849</xdr:colOff>
      <xdr:row>25</xdr:row>
      <xdr:rowOff>19050</xdr:rowOff>
    </xdr:to>
    <xdr:sp macro="" textlink="">
      <xdr:nvSpPr>
        <xdr:cNvPr id="5" name="Rectangle 4"/>
        <xdr:cNvSpPr/>
      </xdr:nvSpPr>
      <xdr:spPr>
        <a:xfrm>
          <a:off x="5543548" y="581025"/>
          <a:ext cx="2019301" cy="42005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11</xdr:col>
      <xdr:colOff>438150</xdr:colOff>
      <xdr:row>3</xdr:row>
      <xdr:rowOff>180975</xdr:rowOff>
    </xdr:from>
    <xdr:to>
      <xdr:col>13</xdr:col>
      <xdr:colOff>314325</xdr:colOff>
      <xdr:row>14</xdr:row>
      <xdr:rowOff>19050</xdr:rowOff>
    </xdr:to>
    <xdr:sp macro="" textlink="">
      <xdr:nvSpPr>
        <xdr:cNvPr id="7" name="Rectangle 6"/>
        <xdr:cNvSpPr/>
      </xdr:nvSpPr>
      <xdr:spPr>
        <a:xfrm>
          <a:off x="8820150" y="752475"/>
          <a:ext cx="1400175" cy="19335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11</xdr:col>
      <xdr:colOff>428625</xdr:colOff>
      <xdr:row>15</xdr:row>
      <xdr:rowOff>0</xdr:rowOff>
    </xdr:from>
    <xdr:to>
      <xdr:col>13</xdr:col>
      <xdr:colOff>323850</xdr:colOff>
      <xdr:row>25</xdr:row>
      <xdr:rowOff>28575</xdr:rowOff>
    </xdr:to>
    <xdr:sp macro="" textlink="">
      <xdr:nvSpPr>
        <xdr:cNvPr id="8" name="Rectangle 7"/>
        <xdr:cNvSpPr/>
      </xdr:nvSpPr>
      <xdr:spPr>
        <a:xfrm>
          <a:off x="8810625" y="2857500"/>
          <a:ext cx="1419225" cy="19335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oneCellAnchor>
    <xdr:from>
      <xdr:col>0</xdr:col>
      <xdr:colOff>190500</xdr:colOff>
      <xdr:row>3</xdr:row>
      <xdr:rowOff>38100</xdr:rowOff>
    </xdr:from>
    <xdr:ext cx="609911" cy="311496"/>
    <xdr:sp macro="" textlink="">
      <xdr:nvSpPr>
        <xdr:cNvPr id="9" name="ZoneTexte 8"/>
        <xdr:cNvSpPr txBox="1"/>
      </xdr:nvSpPr>
      <xdr:spPr>
        <a:xfrm>
          <a:off x="190500" y="609600"/>
          <a:ext cx="60991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400">
              <a:solidFill>
                <a:schemeClr val="bg1"/>
              </a:solidFill>
            </a:rPr>
            <a:t>Doing</a:t>
          </a:r>
        </a:p>
      </xdr:txBody>
    </xdr:sp>
    <xdr:clientData/>
  </xdr:oneCellAnchor>
  <xdr:oneCellAnchor>
    <xdr:from>
      <xdr:col>4</xdr:col>
      <xdr:colOff>361950</xdr:colOff>
      <xdr:row>4</xdr:row>
      <xdr:rowOff>19050</xdr:rowOff>
    </xdr:from>
    <xdr:ext cx="580928" cy="311496"/>
    <xdr:sp macro="" textlink="">
      <xdr:nvSpPr>
        <xdr:cNvPr id="10" name="ZoneTexte 9"/>
        <xdr:cNvSpPr txBox="1"/>
      </xdr:nvSpPr>
      <xdr:spPr>
        <a:xfrm>
          <a:off x="3409950" y="781050"/>
          <a:ext cx="580928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400">
              <a:solidFill>
                <a:schemeClr val="bg1"/>
              </a:solidFill>
            </a:rPr>
            <a:t>WAIT</a:t>
          </a:r>
        </a:p>
      </xdr:txBody>
    </xdr:sp>
    <xdr:clientData/>
  </xdr:oneCellAnchor>
  <xdr:oneCellAnchor>
    <xdr:from>
      <xdr:col>8</xdr:col>
      <xdr:colOff>514350</xdr:colOff>
      <xdr:row>3</xdr:row>
      <xdr:rowOff>76200</xdr:rowOff>
    </xdr:from>
    <xdr:ext cx="617541" cy="311496"/>
    <xdr:sp macro="" textlink="">
      <xdr:nvSpPr>
        <xdr:cNvPr id="11" name="ZoneTexte 10"/>
        <xdr:cNvSpPr txBox="1"/>
      </xdr:nvSpPr>
      <xdr:spPr>
        <a:xfrm>
          <a:off x="6610350" y="647700"/>
          <a:ext cx="61754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400">
              <a:solidFill>
                <a:schemeClr val="bg1"/>
              </a:solidFill>
            </a:rPr>
            <a:t>DONE</a:t>
          </a:r>
        </a:p>
      </xdr:txBody>
    </xdr:sp>
    <xdr:clientData/>
  </xdr:oneCellAnchor>
  <xdr:twoCellAnchor>
    <xdr:from>
      <xdr:col>5</xdr:col>
      <xdr:colOff>390524</xdr:colOff>
      <xdr:row>3</xdr:row>
      <xdr:rowOff>9525</xdr:rowOff>
    </xdr:from>
    <xdr:to>
      <xdr:col>7</xdr:col>
      <xdr:colOff>66675</xdr:colOff>
      <xdr:row>25</xdr:row>
      <xdr:rowOff>28575</xdr:rowOff>
    </xdr:to>
    <xdr:sp macro="" textlink="">
      <xdr:nvSpPr>
        <xdr:cNvPr id="12" name="Rectangle 11"/>
        <xdr:cNvSpPr/>
      </xdr:nvSpPr>
      <xdr:spPr>
        <a:xfrm>
          <a:off x="4200524" y="581025"/>
          <a:ext cx="1200151" cy="42100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oneCellAnchor>
    <xdr:from>
      <xdr:col>0</xdr:col>
      <xdr:colOff>295276</xdr:colOff>
      <xdr:row>1</xdr:row>
      <xdr:rowOff>133350</xdr:rowOff>
    </xdr:from>
    <xdr:ext cx="1552574" cy="468013"/>
    <xdr:sp macro="" textlink="">
      <xdr:nvSpPr>
        <xdr:cNvPr id="13" name="ZoneTexte 12"/>
        <xdr:cNvSpPr txBox="1"/>
      </xdr:nvSpPr>
      <xdr:spPr>
        <a:xfrm>
          <a:off x="295276" y="323850"/>
          <a:ext cx="1552574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ctr"/>
          <a:r>
            <a:rPr lang="fr-FR" sz="2400" b="1" cap="none" spc="5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ANALYSE</a:t>
          </a:r>
        </a:p>
      </xdr:txBody>
    </xdr:sp>
    <xdr:clientData/>
  </xdr:oneCellAnchor>
  <xdr:oneCellAnchor>
    <xdr:from>
      <xdr:col>11</xdr:col>
      <xdr:colOff>476250</xdr:colOff>
      <xdr:row>4</xdr:row>
      <xdr:rowOff>57150</xdr:rowOff>
    </xdr:from>
    <xdr:ext cx="1245149" cy="311496"/>
    <xdr:sp macro="" textlink="">
      <xdr:nvSpPr>
        <xdr:cNvPr id="16" name="ZoneTexte 15"/>
        <xdr:cNvSpPr txBox="1"/>
      </xdr:nvSpPr>
      <xdr:spPr>
        <a:xfrm>
          <a:off x="8858250" y="819150"/>
          <a:ext cx="1245149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400">
              <a:solidFill>
                <a:schemeClr val="bg1"/>
              </a:solidFill>
            </a:rPr>
            <a:t>Technical</a:t>
          </a:r>
          <a:r>
            <a:rPr lang="fr-FR" sz="1400" baseline="0">
              <a:solidFill>
                <a:schemeClr val="bg1"/>
              </a:solidFill>
            </a:rPr>
            <a:t> stuff</a:t>
          </a:r>
          <a:endParaRPr lang="fr-FR" sz="1400">
            <a:solidFill>
              <a:schemeClr val="bg1"/>
            </a:solidFill>
          </a:endParaRPr>
        </a:p>
      </xdr:txBody>
    </xdr:sp>
    <xdr:clientData/>
  </xdr:oneCellAnchor>
  <xdr:oneCellAnchor>
    <xdr:from>
      <xdr:col>11</xdr:col>
      <xdr:colOff>676275</xdr:colOff>
      <xdr:row>15</xdr:row>
      <xdr:rowOff>28575</xdr:rowOff>
    </xdr:from>
    <xdr:ext cx="949555" cy="311496"/>
    <xdr:sp macro="" textlink="">
      <xdr:nvSpPr>
        <xdr:cNvPr id="17" name="ZoneTexte 16"/>
        <xdr:cNvSpPr txBox="1"/>
      </xdr:nvSpPr>
      <xdr:spPr>
        <a:xfrm>
          <a:off x="9058275" y="2886075"/>
          <a:ext cx="949555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400">
              <a:solidFill>
                <a:schemeClr val="bg1"/>
              </a:solidFill>
            </a:rPr>
            <a:t>Next</a:t>
          </a:r>
          <a:r>
            <a:rPr lang="fr-FR" sz="1400" baseline="0">
              <a:solidFill>
                <a:schemeClr val="bg1"/>
              </a:solidFill>
            </a:rPr>
            <a:t> Story</a:t>
          </a:r>
          <a:endParaRPr lang="fr-FR" sz="1400">
            <a:solidFill>
              <a:schemeClr val="bg1"/>
            </a:solidFill>
          </a:endParaRPr>
        </a:p>
      </xdr:txBody>
    </xdr:sp>
    <xdr:clientData/>
  </xdr:oneCellAnchor>
  <xdr:twoCellAnchor>
    <xdr:from>
      <xdr:col>7</xdr:col>
      <xdr:colOff>381000</xdr:colOff>
      <xdr:row>5</xdr:row>
      <xdr:rowOff>38100</xdr:rowOff>
    </xdr:from>
    <xdr:to>
      <xdr:col>8</xdr:col>
      <xdr:colOff>390525</xdr:colOff>
      <xdr:row>7</xdr:row>
      <xdr:rowOff>133350</xdr:rowOff>
    </xdr:to>
    <xdr:sp macro="" textlink="">
      <xdr:nvSpPr>
        <xdr:cNvPr id="18" name="Arrondir un rectangle avec un coin diagonal 17"/>
        <xdr:cNvSpPr/>
      </xdr:nvSpPr>
      <xdr:spPr>
        <a:xfrm>
          <a:off x="5715000" y="990600"/>
          <a:ext cx="771525" cy="476250"/>
        </a:xfrm>
        <a:prstGeom prst="round2Diag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Story</a:t>
          </a:r>
        </a:p>
      </xdr:txBody>
    </xdr:sp>
    <xdr:clientData/>
  </xdr:twoCellAnchor>
  <xdr:twoCellAnchor>
    <xdr:from>
      <xdr:col>5</xdr:col>
      <xdr:colOff>609600</xdr:colOff>
      <xdr:row>8</xdr:row>
      <xdr:rowOff>133350</xdr:rowOff>
    </xdr:from>
    <xdr:to>
      <xdr:col>6</xdr:col>
      <xdr:colOff>619125</xdr:colOff>
      <xdr:row>11</xdr:row>
      <xdr:rowOff>38100</xdr:rowOff>
    </xdr:to>
    <xdr:sp macro="" textlink="">
      <xdr:nvSpPr>
        <xdr:cNvPr id="19" name="Arrondir un rectangle avec un coin diagonal 18"/>
        <xdr:cNvSpPr/>
      </xdr:nvSpPr>
      <xdr:spPr>
        <a:xfrm>
          <a:off x="4419600" y="1657350"/>
          <a:ext cx="771525" cy="476250"/>
        </a:xfrm>
        <a:prstGeom prst="round2Diag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238125</xdr:colOff>
      <xdr:row>7</xdr:row>
      <xdr:rowOff>123825</xdr:rowOff>
    </xdr:from>
    <xdr:to>
      <xdr:col>1</xdr:col>
      <xdr:colOff>247650</xdr:colOff>
      <xdr:row>10</xdr:row>
      <xdr:rowOff>28575</xdr:rowOff>
    </xdr:to>
    <xdr:sp macro="" textlink="">
      <xdr:nvSpPr>
        <xdr:cNvPr id="20" name="Arrondir un rectangle avec un coin diagonal 19"/>
        <xdr:cNvSpPr/>
      </xdr:nvSpPr>
      <xdr:spPr>
        <a:xfrm>
          <a:off x="238125" y="1457325"/>
          <a:ext cx="771525" cy="476250"/>
        </a:xfrm>
        <a:prstGeom prst="round2Diag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257175</xdr:colOff>
      <xdr:row>19</xdr:row>
      <xdr:rowOff>142875</xdr:rowOff>
    </xdr:from>
    <xdr:to>
      <xdr:col>1</xdr:col>
      <xdr:colOff>266700</xdr:colOff>
      <xdr:row>22</xdr:row>
      <xdr:rowOff>47625</xdr:rowOff>
    </xdr:to>
    <xdr:sp macro="" textlink="">
      <xdr:nvSpPr>
        <xdr:cNvPr id="21" name="Arrondir un rectangle avec un coin diagonal 20"/>
        <xdr:cNvSpPr/>
      </xdr:nvSpPr>
      <xdr:spPr>
        <a:xfrm>
          <a:off x="257175" y="3762375"/>
          <a:ext cx="771525" cy="476250"/>
        </a:xfrm>
        <a:prstGeom prst="round2Diag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11</xdr:col>
      <xdr:colOff>514350</xdr:colOff>
      <xdr:row>17</xdr:row>
      <xdr:rowOff>171450</xdr:rowOff>
    </xdr:from>
    <xdr:to>
      <xdr:col>12</xdr:col>
      <xdr:colOff>523875</xdr:colOff>
      <xdr:row>20</xdr:row>
      <xdr:rowOff>76200</xdr:rowOff>
    </xdr:to>
    <xdr:sp macro="" textlink="">
      <xdr:nvSpPr>
        <xdr:cNvPr id="22" name="Arrondir un rectangle avec un coin diagonal 21"/>
        <xdr:cNvSpPr/>
      </xdr:nvSpPr>
      <xdr:spPr>
        <a:xfrm>
          <a:off x="8896350" y="3409950"/>
          <a:ext cx="771525" cy="476250"/>
        </a:xfrm>
        <a:prstGeom prst="round2Diag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11</xdr:col>
      <xdr:colOff>666750</xdr:colOff>
      <xdr:row>18</xdr:row>
      <xdr:rowOff>133350</xdr:rowOff>
    </xdr:from>
    <xdr:to>
      <xdr:col>12</xdr:col>
      <xdr:colOff>676275</xdr:colOff>
      <xdr:row>21</xdr:row>
      <xdr:rowOff>38100</xdr:rowOff>
    </xdr:to>
    <xdr:sp macro="" textlink="">
      <xdr:nvSpPr>
        <xdr:cNvPr id="23" name="Arrondir un rectangle avec un coin diagonal 22"/>
        <xdr:cNvSpPr/>
      </xdr:nvSpPr>
      <xdr:spPr>
        <a:xfrm>
          <a:off x="9048750" y="3562350"/>
          <a:ext cx="771525" cy="476250"/>
        </a:xfrm>
        <a:prstGeom prst="round2Diag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12</xdr:col>
      <xdr:colOff>57150</xdr:colOff>
      <xdr:row>19</xdr:row>
      <xdr:rowOff>95250</xdr:rowOff>
    </xdr:from>
    <xdr:to>
      <xdr:col>13</xdr:col>
      <xdr:colOff>66675</xdr:colOff>
      <xdr:row>22</xdr:row>
      <xdr:rowOff>0</xdr:rowOff>
    </xdr:to>
    <xdr:sp macro="" textlink="">
      <xdr:nvSpPr>
        <xdr:cNvPr id="24" name="Arrondir un rectangle avec un coin diagonal 23"/>
        <xdr:cNvSpPr/>
      </xdr:nvSpPr>
      <xdr:spPr>
        <a:xfrm>
          <a:off x="9201150" y="3714750"/>
          <a:ext cx="771525" cy="476250"/>
        </a:xfrm>
        <a:prstGeom prst="round2Diag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12</xdr:col>
      <xdr:colOff>209550</xdr:colOff>
      <xdr:row>20</xdr:row>
      <xdr:rowOff>57150</xdr:rowOff>
    </xdr:from>
    <xdr:to>
      <xdr:col>13</xdr:col>
      <xdr:colOff>219075</xdr:colOff>
      <xdr:row>22</xdr:row>
      <xdr:rowOff>152400</xdr:rowOff>
    </xdr:to>
    <xdr:sp macro="" textlink="">
      <xdr:nvSpPr>
        <xdr:cNvPr id="25" name="Arrondir un rectangle avec un coin diagonal 24"/>
        <xdr:cNvSpPr/>
      </xdr:nvSpPr>
      <xdr:spPr>
        <a:xfrm>
          <a:off x="9353550" y="3867150"/>
          <a:ext cx="771525" cy="476250"/>
        </a:xfrm>
        <a:prstGeom prst="round2Diag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7</xdr:col>
      <xdr:colOff>314325</xdr:colOff>
      <xdr:row>6</xdr:row>
      <xdr:rowOff>171450</xdr:rowOff>
    </xdr:from>
    <xdr:to>
      <xdr:col>8</xdr:col>
      <xdr:colOff>9525</xdr:colOff>
      <xdr:row>8</xdr:row>
      <xdr:rowOff>104775</xdr:rowOff>
    </xdr:to>
    <xdr:sp macro="" textlink="">
      <xdr:nvSpPr>
        <xdr:cNvPr id="26" name="Rectangle à coins arrondis 25"/>
        <xdr:cNvSpPr/>
      </xdr:nvSpPr>
      <xdr:spPr>
        <a:xfrm>
          <a:off x="5648325" y="1314450"/>
          <a:ext cx="457200" cy="314325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7</xdr:col>
      <xdr:colOff>428625</xdr:colOff>
      <xdr:row>7</xdr:row>
      <xdr:rowOff>104775</xdr:rowOff>
    </xdr:from>
    <xdr:to>
      <xdr:col>8</xdr:col>
      <xdr:colOff>123825</xdr:colOff>
      <xdr:row>9</xdr:row>
      <xdr:rowOff>38100</xdr:rowOff>
    </xdr:to>
    <xdr:sp macro="" textlink="">
      <xdr:nvSpPr>
        <xdr:cNvPr id="27" name="Rectangle à coins arrondis 26"/>
        <xdr:cNvSpPr/>
      </xdr:nvSpPr>
      <xdr:spPr>
        <a:xfrm>
          <a:off x="5762625" y="1438275"/>
          <a:ext cx="457200" cy="314325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7</xdr:col>
      <xdr:colOff>523875</xdr:colOff>
      <xdr:row>8</xdr:row>
      <xdr:rowOff>9525</xdr:rowOff>
    </xdr:from>
    <xdr:to>
      <xdr:col>8</xdr:col>
      <xdr:colOff>219075</xdr:colOff>
      <xdr:row>9</xdr:row>
      <xdr:rowOff>133350</xdr:rowOff>
    </xdr:to>
    <xdr:sp macro="" textlink="">
      <xdr:nvSpPr>
        <xdr:cNvPr id="28" name="Rectangle à coins arrondis 27"/>
        <xdr:cNvSpPr/>
      </xdr:nvSpPr>
      <xdr:spPr>
        <a:xfrm>
          <a:off x="5857875" y="1533525"/>
          <a:ext cx="457200" cy="314325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7</xdr:col>
      <xdr:colOff>647700</xdr:colOff>
      <xdr:row>8</xdr:row>
      <xdr:rowOff>76200</xdr:rowOff>
    </xdr:from>
    <xdr:to>
      <xdr:col>8</xdr:col>
      <xdr:colOff>381000</xdr:colOff>
      <xdr:row>10</xdr:row>
      <xdr:rowOff>9525</xdr:rowOff>
    </xdr:to>
    <xdr:sp macro="" textlink="">
      <xdr:nvSpPr>
        <xdr:cNvPr id="29" name="Rectangle à coins arrondis 28"/>
        <xdr:cNvSpPr/>
      </xdr:nvSpPr>
      <xdr:spPr>
        <a:xfrm>
          <a:off x="5981700" y="1600200"/>
          <a:ext cx="495300" cy="314325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bug</a:t>
          </a:r>
        </a:p>
      </xdr:txBody>
    </xdr:sp>
    <xdr:clientData/>
  </xdr:twoCellAnchor>
  <xdr:twoCellAnchor>
    <xdr:from>
      <xdr:col>5</xdr:col>
      <xdr:colOff>485775</xdr:colOff>
      <xdr:row>10</xdr:row>
      <xdr:rowOff>47625</xdr:rowOff>
    </xdr:from>
    <xdr:to>
      <xdr:col>6</xdr:col>
      <xdr:colOff>180975</xdr:colOff>
      <xdr:row>11</xdr:row>
      <xdr:rowOff>171450</xdr:rowOff>
    </xdr:to>
    <xdr:sp macro="" textlink="">
      <xdr:nvSpPr>
        <xdr:cNvPr id="30" name="Rectangle à coins arrondis 29"/>
        <xdr:cNvSpPr/>
      </xdr:nvSpPr>
      <xdr:spPr>
        <a:xfrm>
          <a:off x="4295775" y="1952625"/>
          <a:ext cx="457200" cy="314325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</xdr:col>
      <xdr:colOff>742950</xdr:colOff>
      <xdr:row>10</xdr:row>
      <xdr:rowOff>171450</xdr:rowOff>
    </xdr:from>
    <xdr:to>
      <xdr:col>6</xdr:col>
      <xdr:colOff>438150</xdr:colOff>
      <xdr:row>12</xdr:row>
      <xdr:rowOff>104775</xdr:rowOff>
    </xdr:to>
    <xdr:sp macro="" textlink="">
      <xdr:nvSpPr>
        <xdr:cNvPr id="31" name="Rectangle à coins arrondis 30"/>
        <xdr:cNvSpPr/>
      </xdr:nvSpPr>
      <xdr:spPr>
        <a:xfrm>
          <a:off x="4552950" y="2076450"/>
          <a:ext cx="457200" cy="314325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</xdr:col>
      <xdr:colOff>152400</xdr:colOff>
      <xdr:row>11</xdr:row>
      <xdr:rowOff>38100</xdr:rowOff>
    </xdr:from>
    <xdr:to>
      <xdr:col>6</xdr:col>
      <xdr:colOff>609600</xdr:colOff>
      <xdr:row>12</xdr:row>
      <xdr:rowOff>161925</xdr:rowOff>
    </xdr:to>
    <xdr:sp macro="" textlink="">
      <xdr:nvSpPr>
        <xdr:cNvPr id="32" name="Rectangle à coins arrondis 31"/>
        <xdr:cNvSpPr/>
      </xdr:nvSpPr>
      <xdr:spPr>
        <a:xfrm>
          <a:off x="4724400" y="2133600"/>
          <a:ext cx="457200" cy="314325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</xdr:col>
      <xdr:colOff>152400</xdr:colOff>
      <xdr:row>12</xdr:row>
      <xdr:rowOff>9525</xdr:rowOff>
    </xdr:from>
    <xdr:to>
      <xdr:col>6</xdr:col>
      <xdr:colOff>609600</xdr:colOff>
      <xdr:row>13</xdr:row>
      <xdr:rowOff>133350</xdr:rowOff>
    </xdr:to>
    <xdr:sp macro="" textlink="">
      <xdr:nvSpPr>
        <xdr:cNvPr id="33" name="Rectangle à coins arrondis 32"/>
        <xdr:cNvSpPr/>
      </xdr:nvSpPr>
      <xdr:spPr>
        <a:xfrm>
          <a:off x="4724400" y="2295525"/>
          <a:ext cx="457200" cy="314325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485775</xdr:colOff>
      <xdr:row>9</xdr:row>
      <xdr:rowOff>57150</xdr:rowOff>
    </xdr:from>
    <xdr:to>
      <xdr:col>1</xdr:col>
      <xdr:colOff>180975</xdr:colOff>
      <xdr:row>10</xdr:row>
      <xdr:rowOff>180975</xdr:rowOff>
    </xdr:to>
    <xdr:sp macro="" textlink="">
      <xdr:nvSpPr>
        <xdr:cNvPr id="34" name="Rectangle à coins arrondis 33"/>
        <xdr:cNvSpPr/>
      </xdr:nvSpPr>
      <xdr:spPr>
        <a:xfrm>
          <a:off x="485775" y="1771650"/>
          <a:ext cx="457200" cy="314325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742950</xdr:colOff>
      <xdr:row>12</xdr:row>
      <xdr:rowOff>9525</xdr:rowOff>
    </xdr:from>
    <xdr:to>
      <xdr:col>3</xdr:col>
      <xdr:colOff>438150</xdr:colOff>
      <xdr:row>13</xdr:row>
      <xdr:rowOff>133350</xdr:rowOff>
    </xdr:to>
    <xdr:sp macro="" textlink="">
      <xdr:nvSpPr>
        <xdr:cNvPr id="35" name="Rectangle à coins arrondis 34"/>
        <xdr:cNvSpPr/>
      </xdr:nvSpPr>
      <xdr:spPr>
        <a:xfrm>
          <a:off x="2266950" y="2295525"/>
          <a:ext cx="457200" cy="314325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476250</xdr:colOff>
      <xdr:row>12</xdr:row>
      <xdr:rowOff>9525</xdr:rowOff>
    </xdr:from>
    <xdr:to>
      <xdr:col>4</xdr:col>
      <xdr:colOff>171450</xdr:colOff>
      <xdr:row>13</xdr:row>
      <xdr:rowOff>133350</xdr:rowOff>
    </xdr:to>
    <xdr:sp macro="" textlink="">
      <xdr:nvSpPr>
        <xdr:cNvPr id="36" name="Rectangle à coins arrondis 35"/>
        <xdr:cNvSpPr/>
      </xdr:nvSpPr>
      <xdr:spPr>
        <a:xfrm>
          <a:off x="2762250" y="2295525"/>
          <a:ext cx="457200" cy="314325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66675</xdr:colOff>
      <xdr:row>20</xdr:row>
      <xdr:rowOff>180975</xdr:rowOff>
    </xdr:from>
    <xdr:to>
      <xdr:col>1</xdr:col>
      <xdr:colOff>523875</xdr:colOff>
      <xdr:row>22</xdr:row>
      <xdr:rowOff>114300</xdr:rowOff>
    </xdr:to>
    <xdr:sp macro="" textlink="">
      <xdr:nvSpPr>
        <xdr:cNvPr id="37" name="Rectangle à coins arrondis 36"/>
        <xdr:cNvSpPr/>
      </xdr:nvSpPr>
      <xdr:spPr>
        <a:xfrm>
          <a:off x="828675" y="3990975"/>
          <a:ext cx="457200" cy="314325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409575</xdr:colOff>
      <xdr:row>21</xdr:row>
      <xdr:rowOff>161925</xdr:rowOff>
    </xdr:from>
    <xdr:to>
      <xdr:col>4</xdr:col>
      <xdr:colOff>104775</xdr:colOff>
      <xdr:row>23</xdr:row>
      <xdr:rowOff>95250</xdr:rowOff>
    </xdr:to>
    <xdr:sp macro="" textlink="">
      <xdr:nvSpPr>
        <xdr:cNvPr id="38" name="Rectangle à coins arrondis 37"/>
        <xdr:cNvSpPr/>
      </xdr:nvSpPr>
      <xdr:spPr>
        <a:xfrm>
          <a:off x="2695575" y="4162425"/>
          <a:ext cx="457200" cy="314325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342900</xdr:colOff>
      <xdr:row>21</xdr:row>
      <xdr:rowOff>66675</xdr:rowOff>
    </xdr:from>
    <xdr:to>
      <xdr:col>1</xdr:col>
      <xdr:colOff>38100</xdr:colOff>
      <xdr:row>23</xdr:row>
      <xdr:rowOff>0</xdr:rowOff>
    </xdr:to>
    <xdr:sp macro="" textlink="">
      <xdr:nvSpPr>
        <xdr:cNvPr id="39" name="Rectangle à coins arrondis 38"/>
        <xdr:cNvSpPr/>
      </xdr:nvSpPr>
      <xdr:spPr>
        <a:xfrm>
          <a:off x="342900" y="4067175"/>
          <a:ext cx="457200" cy="314325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12</xdr:col>
      <xdr:colOff>466725</xdr:colOff>
      <xdr:row>6</xdr:row>
      <xdr:rowOff>76200</xdr:rowOff>
    </xdr:from>
    <xdr:to>
      <xdr:col>13</xdr:col>
      <xdr:colOff>161925</xdr:colOff>
      <xdr:row>8</xdr:row>
      <xdr:rowOff>9525</xdr:rowOff>
    </xdr:to>
    <xdr:sp macro="" textlink="">
      <xdr:nvSpPr>
        <xdr:cNvPr id="41" name="Rectangle à coins arrondis 40"/>
        <xdr:cNvSpPr/>
      </xdr:nvSpPr>
      <xdr:spPr>
        <a:xfrm>
          <a:off x="9610725" y="1219200"/>
          <a:ext cx="457200" cy="314325"/>
        </a:xfrm>
        <a:prstGeom prst="round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11</xdr:col>
      <xdr:colOff>695325</xdr:colOff>
      <xdr:row>6</xdr:row>
      <xdr:rowOff>66675</xdr:rowOff>
    </xdr:from>
    <xdr:to>
      <xdr:col>12</xdr:col>
      <xdr:colOff>390525</xdr:colOff>
      <xdr:row>8</xdr:row>
      <xdr:rowOff>0</xdr:rowOff>
    </xdr:to>
    <xdr:sp macro="" textlink="">
      <xdr:nvSpPr>
        <xdr:cNvPr id="42" name="Rectangle à coins arrondis 41"/>
        <xdr:cNvSpPr/>
      </xdr:nvSpPr>
      <xdr:spPr>
        <a:xfrm>
          <a:off x="9077325" y="1209675"/>
          <a:ext cx="457200" cy="314325"/>
        </a:xfrm>
        <a:prstGeom prst="round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12</xdr:col>
      <xdr:colOff>200025</xdr:colOff>
      <xdr:row>8</xdr:row>
      <xdr:rowOff>66675</xdr:rowOff>
    </xdr:from>
    <xdr:to>
      <xdr:col>12</xdr:col>
      <xdr:colOff>657225</xdr:colOff>
      <xdr:row>10</xdr:row>
      <xdr:rowOff>0</xdr:rowOff>
    </xdr:to>
    <xdr:sp macro="" textlink="">
      <xdr:nvSpPr>
        <xdr:cNvPr id="43" name="Rectangle à coins arrondis 42"/>
        <xdr:cNvSpPr/>
      </xdr:nvSpPr>
      <xdr:spPr>
        <a:xfrm>
          <a:off x="9344025" y="1590675"/>
          <a:ext cx="457200" cy="314325"/>
        </a:xfrm>
        <a:prstGeom prst="round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7</xdr:col>
      <xdr:colOff>247649</xdr:colOff>
      <xdr:row>25</xdr:row>
      <xdr:rowOff>171450</xdr:rowOff>
    </xdr:from>
    <xdr:to>
      <xdr:col>9</xdr:col>
      <xdr:colOff>714375</xdr:colOff>
      <xdr:row>30</xdr:row>
      <xdr:rowOff>38100</xdr:rowOff>
    </xdr:to>
    <xdr:sp macro="" textlink="">
      <xdr:nvSpPr>
        <xdr:cNvPr id="2" name="ZoneTexte 1"/>
        <xdr:cNvSpPr txBox="1"/>
      </xdr:nvSpPr>
      <xdr:spPr>
        <a:xfrm>
          <a:off x="5581649" y="4933950"/>
          <a:ext cx="1990726" cy="8191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Definition</a:t>
          </a:r>
          <a:r>
            <a:rPr lang="fr-FR" sz="1100" baseline="0"/>
            <a:t> of Done</a:t>
          </a:r>
          <a:endParaRPr lang="fr-FR" sz="1100"/>
        </a:p>
      </xdr:txBody>
    </xdr:sp>
    <xdr:clientData/>
  </xdr:twoCellAnchor>
  <xdr:oneCellAnchor>
    <xdr:from>
      <xdr:col>1</xdr:col>
      <xdr:colOff>571500</xdr:colOff>
      <xdr:row>3</xdr:row>
      <xdr:rowOff>47625</xdr:rowOff>
    </xdr:from>
    <xdr:ext cx="617541" cy="311496"/>
    <xdr:sp macro="" textlink="">
      <xdr:nvSpPr>
        <xdr:cNvPr id="44" name="ZoneTexte 43"/>
        <xdr:cNvSpPr txBox="1"/>
      </xdr:nvSpPr>
      <xdr:spPr>
        <a:xfrm>
          <a:off x="1333500" y="619125"/>
          <a:ext cx="61754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400">
              <a:solidFill>
                <a:schemeClr val="bg1"/>
              </a:solidFill>
            </a:rPr>
            <a:t>DONE</a:t>
          </a:r>
        </a:p>
      </xdr:txBody>
    </xdr:sp>
    <xdr:clientData/>
  </xdr:oneCellAnchor>
  <xdr:oneCellAnchor>
    <xdr:from>
      <xdr:col>2</xdr:col>
      <xdr:colOff>628650</xdr:colOff>
      <xdr:row>3</xdr:row>
      <xdr:rowOff>38100</xdr:rowOff>
    </xdr:from>
    <xdr:ext cx="609911" cy="311496"/>
    <xdr:sp macro="" textlink="">
      <xdr:nvSpPr>
        <xdr:cNvPr id="45" name="ZoneTexte 44"/>
        <xdr:cNvSpPr txBox="1"/>
      </xdr:nvSpPr>
      <xdr:spPr>
        <a:xfrm>
          <a:off x="2152650" y="609600"/>
          <a:ext cx="60991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400">
              <a:solidFill>
                <a:schemeClr val="bg1"/>
              </a:solidFill>
            </a:rPr>
            <a:t>Doing</a:t>
          </a:r>
        </a:p>
      </xdr:txBody>
    </xdr:sp>
    <xdr:clientData/>
  </xdr:oneCellAnchor>
  <xdr:oneCellAnchor>
    <xdr:from>
      <xdr:col>6</xdr:col>
      <xdr:colOff>200026</xdr:colOff>
      <xdr:row>3</xdr:row>
      <xdr:rowOff>57150</xdr:rowOff>
    </xdr:from>
    <xdr:ext cx="617541" cy="311496"/>
    <xdr:sp macro="" textlink="">
      <xdr:nvSpPr>
        <xdr:cNvPr id="48" name="ZoneTexte 47"/>
        <xdr:cNvSpPr txBox="1"/>
      </xdr:nvSpPr>
      <xdr:spPr>
        <a:xfrm>
          <a:off x="4772026" y="628650"/>
          <a:ext cx="61754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400">
              <a:solidFill>
                <a:schemeClr val="bg1"/>
              </a:solidFill>
            </a:rPr>
            <a:t>DONE</a:t>
          </a:r>
        </a:p>
      </xdr:txBody>
    </xdr:sp>
    <xdr:clientData/>
  </xdr:oneCellAnchor>
  <xdr:oneCellAnchor>
    <xdr:from>
      <xdr:col>7</xdr:col>
      <xdr:colOff>238126</xdr:colOff>
      <xdr:row>3</xdr:row>
      <xdr:rowOff>57150</xdr:rowOff>
    </xdr:from>
    <xdr:ext cx="609911" cy="311496"/>
    <xdr:sp macro="" textlink="">
      <xdr:nvSpPr>
        <xdr:cNvPr id="49" name="ZoneTexte 48"/>
        <xdr:cNvSpPr txBox="1"/>
      </xdr:nvSpPr>
      <xdr:spPr>
        <a:xfrm>
          <a:off x="5572126" y="628650"/>
          <a:ext cx="60991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400">
              <a:solidFill>
                <a:schemeClr val="bg1"/>
              </a:solidFill>
            </a:rPr>
            <a:t>Doing</a:t>
          </a:r>
        </a:p>
      </xdr:txBody>
    </xdr:sp>
    <xdr:clientData/>
  </xdr:oneCellAnchor>
  <xdr:oneCellAnchor>
    <xdr:from>
      <xdr:col>2</xdr:col>
      <xdr:colOff>676276</xdr:colOff>
      <xdr:row>1</xdr:row>
      <xdr:rowOff>142875</xdr:rowOff>
    </xdr:from>
    <xdr:ext cx="3286124" cy="468013"/>
    <xdr:sp macro="" textlink="">
      <xdr:nvSpPr>
        <xdr:cNvPr id="50" name="ZoneTexte 49"/>
        <xdr:cNvSpPr txBox="1"/>
      </xdr:nvSpPr>
      <xdr:spPr>
        <a:xfrm>
          <a:off x="2200276" y="333375"/>
          <a:ext cx="3286124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ctr"/>
          <a:r>
            <a:rPr lang="fr-FR" sz="2400" b="1" cap="none" spc="5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DEVELOPPEMENT</a:t>
          </a:r>
        </a:p>
      </xdr:txBody>
    </xdr:sp>
    <xdr:clientData/>
  </xdr:oneCellAnchor>
  <xdr:twoCellAnchor>
    <xdr:from>
      <xdr:col>3</xdr:col>
      <xdr:colOff>85725</xdr:colOff>
      <xdr:row>9</xdr:row>
      <xdr:rowOff>85725</xdr:rowOff>
    </xdr:from>
    <xdr:to>
      <xdr:col>4</xdr:col>
      <xdr:colOff>95250</xdr:colOff>
      <xdr:row>11</xdr:row>
      <xdr:rowOff>180975</xdr:rowOff>
    </xdr:to>
    <xdr:sp macro="" textlink="">
      <xdr:nvSpPr>
        <xdr:cNvPr id="51" name="Arrondir un rectangle avec un coin diagonal 50"/>
        <xdr:cNvSpPr/>
      </xdr:nvSpPr>
      <xdr:spPr>
        <a:xfrm>
          <a:off x="2371725" y="1800225"/>
          <a:ext cx="771525" cy="476250"/>
        </a:xfrm>
        <a:prstGeom prst="round2Diag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685800</xdr:colOff>
      <xdr:row>19</xdr:row>
      <xdr:rowOff>47625</xdr:rowOff>
    </xdr:from>
    <xdr:to>
      <xdr:col>3</xdr:col>
      <xdr:colOff>695325</xdr:colOff>
      <xdr:row>21</xdr:row>
      <xdr:rowOff>142875</xdr:rowOff>
    </xdr:to>
    <xdr:sp macro="" textlink="">
      <xdr:nvSpPr>
        <xdr:cNvPr id="52" name="Arrondir un rectangle avec un coin diagonal 51"/>
        <xdr:cNvSpPr/>
      </xdr:nvSpPr>
      <xdr:spPr>
        <a:xfrm>
          <a:off x="2209800" y="3667125"/>
          <a:ext cx="771525" cy="476250"/>
        </a:xfrm>
        <a:prstGeom prst="round2Diag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647701</xdr:colOff>
      <xdr:row>25</xdr:row>
      <xdr:rowOff>152400</xdr:rowOff>
    </xdr:from>
    <xdr:to>
      <xdr:col>7</xdr:col>
      <xdr:colOff>85725</xdr:colOff>
      <xdr:row>30</xdr:row>
      <xdr:rowOff>19050</xdr:rowOff>
    </xdr:to>
    <xdr:sp macro="" textlink="">
      <xdr:nvSpPr>
        <xdr:cNvPr id="53" name="ZoneTexte 52"/>
        <xdr:cNvSpPr txBox="1"/>
      </xdr:nvSpPr>
      <xdr:spPr>
        <a:xfrm>
          <a:off x="2171701" y="4914900"/>
          <a:ext cx="3248024" cy="8191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Definition</a:t>
          </a:r>
          <a:r>
            <a:rPr lang="fr-FR" sz="1100" baseline="0"/>
            <a:t> of Done</a:t>
          </a:r>
          <a:endParaRPr lang="fr-FR" sz="1100"/>
        </a:p>
      </xdr:txBody>
    </xdr:sp>
    <xdr:clientData/>
  </xdr:twoCellAnchor>
  <xdr:twoCellAnchor>
    <xdr:from>
      <xdr:col>0</xdr:col>
      <xdr:colOff>142875</xdr:colOff>
      <xdr:row>25</xdr:row>
      <xdr:rowOff>133350</xdr:rowOff>
    </xdr:from>
    <xdr:to>
      <xdr:col>2</xdr:col>
      <xdr:colOff>504824</xdr:colOff>
      <xdr:row>30</xdr:row>
      <xdr:rowOff>0</xdr:rowOff>
    </xdr:to>
    <xdr:sp macro="" textlink="">
      <xdr:nvSpPr>
        <xdr:cNvPr id="54" name="ZoneTexte 53"/>
        <xdr:cNvSpPr txBox="1"/>
      </xdr:nvSpPr>
      <xdr:spPr>
        <a:xfrm>
          <a:off x="142875" y="4895850"/>
          <a:ext cx="1885949" cy="8191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Definition</a:t>
          </a:r>
          <a:r>
            <a:rPr lang="fr-FR" sz="1100" baseline="0"/>
            <a:t> of Done</a:t>
          </a:r>
          <a:endParaRPr lang="fr-FR" sz="1100"/>
        </a:p>
      </xdr:txBody>
    </xdr:sp>
    <xdr:clientData/>
  </xdr:twoCellAnchor>
  <xdr:oneCellAnchor>
    <xdr:from>
      <xdr:col>7</xdr:col>
      <xdr:colOff>228602</xdr:colOff>
      <xdr:row>1</xdr:row>
      <xdr:rowOff>133350</xdr:rowOff>
    </xdr:from>
    <xdr:ext cx="2009774" cy="468013"/>
    <xdr:sp macro="" textlink="">
      <xdr:nvSpPr>
        <xdr:cNvPr id="55" name="ZoneTexte 54"/>
        <xdr:cNvSpPr txBox="1"/>
      </xdr:nvSpPr>
      <xdr:spPr>
        <a:xfrm>
          <a:off x="5562602" y="323850"/>
          <a:ext cx="2009774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ctr"/>
          <a:r>
            <a:rPr lang="fr-FR" sz="2400" b="1" cap="none" spc="5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VALIDATION</a:t>
          </a:r>
        </a:p>
      </xdr:txBody>
    </xdr:sp>
    <xdr:clientData/>
  </xdr:oneCellAnchor>
  <xdr:twoCellAnchor editAs="oneCell">
    <xdr:from>
      <xdr:col>10</xdr:col>
      <xdr:colOff>0</xdr:colOff>
      <xdr:row>37</xdr:row>
      <xdr:rowOff>0</xdr:rowOff>
    </xdr:from>
    <xdr:to>
      <xdr:col>16</xdr:col>
      <xdr:colOff>426720</xdr:colOff>
      <xdr:row>49</xdr:row>
      <xdr:rowOff>83820</xdr:rowOff>
    </xdr:to>
    <xdr:sp macro="" textlink="">
      <xdr:nvSpPr>
        <xdr:cNvPr id="5121" name="il_fi" descr="imap://christian%2Echatellier%40univ-poitiers%2Efr@mail.univ-poitiers.fr:993/fetch%3EUID%3E.INBOX.Drafts%3E862?part=1.2&amp;filename=couverture.gif"/>
        <xdr:cNvSpPr>
          <a:spLocks noChangeAspect="1" noChangeArrowheads="1"/>
        </xdr:cNvSpPr>
      </xdr:nvSpPr>
      <xdr:spPr bwMode="auto">
        <a:xfrm>
          <a:off x="7924800" y="6766560"/>
          <a:ext cx="5181600" cy="2278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33</xdr:row>
      <xdr:rowOff>0</xdr:rowOff>
    </xdr:from>
    <xdr:to>
      <xdr:col>7</xdr:col>
      <xdr:colOff>426720</xdr:colOff>
      <xdr:row>45</xdr:row>
      <xdr:rowOff>83820</xdr:rowOff>
    </xdr:to>
    <xdr:sp macro="" textlink="">
      <xdr:nvSpPr>
        <xdr:cNvPr id="5122" name="il_fi" descr="imap://christian%2Echatellier%40univ-poitiers%2Efr@mail.univ-poitiers.fr:993/fetch%3EUID%3E.INBOX.Drafts%3E862?part=1.2&amp;filename=couverture.gif"/>
        <xdr:cNvSpPr>
          <a:spLocks noChangeAspect="1" noChangeArrowheads="1"/>
        </xdr:cNvSpPr>
      </xdr:nvSpPr>
      <xdr:spPr bwMode="auto">
        <a:xfrm>
          <a:off x="792480" y="6035040"/>
          <a:ext cx="5181600" cy="2278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76200</xdr:colOff>
      <xdr:row>32</xdr:row>
      <xdr:rowOff>116528</xdr:rowOff>
    </xdr:from>
    <xdr:to>
      <xdr:col>12</xdr:col>
      <xdr:colOff>426720</xdr:colOff>
      <xdr:row>40</xdr:row>
      <xdr:rowOff>1594</xdr:rowOff>
    </xdr:to>
    <xdr:pic>
      <xdr:nvPicPr>
        <xdr:cNvPr id="14" name="Image 1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200" y="5968688"/>
          <a:ext cx="9860280" cy="1348106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Tableau1" displayName="Tableau1" ref="A3:K42" totalsRowCount="1" headerRowDxfId="28" dataDxfId="26" headerRowBorderDxfId="27" tableBorderDxfId="25">
  <autoFilter ref="A3:K41"/>
  <sortState ref="A4:J42">
    <sortCondition descending="1" ref="E3:E42"/>
  </sortState>
  <tableColumns count="11">
    <tableColumn id="1" name="Sprint" totalsRowLabel="Total" dataDxfId="24" totalsRowDxfId="10"/>
    <tableColumn id="2" name="Catégorie" dataDxfId="23" totalsRowDxfId="9"/>
    <tableColumn id="3" name="Sous catégorie" dataDxfId="22" totalsRowDxfId="8"/>
    <tableColumn id="4" name="Nom / Description" dataDxfId="21" totalsRowDxfId="7"/>
    <tableColumn id="5" name="Importance" dataDxfId="20" totalsRowDxfId="6"/>
    <tableColumn id="6" name="Estimation" totalsRowFunction="sum" dataDxfId="19" totalsRowDxfId="5"/>
    <tableColumn id="7" name="Critères de Vérification" dataDxfId="18" totalsRowDxfId="4"/>
    <tableColumn id="13" name="Acteur" dataDxfId="17" totalsRowDxfId="3"/>
    <tableColumn id="8" name="Status" dataDxfId="16" totalsRowDxfId="2"/>
    <tableColumn id="9" name="Notes" dataDxfId="15" totalsRowDxfId="1"/>
    <tableColumn id="10" name="Bug" totalsRowFunction="count" dataDxfId="14" totalsRow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B3:C26"/>
  <sheetViews>
    <sheetView workbookViewId="0">
      <selection activeCell="C13" sqref="C13"/>
    </sheetView>
  </sheetViews>
  <sheetFormatPr baseColWidth="10" defaultRowHeight="15" x14ac:dyDescent="0.25"/>
  <cols>
    <col min="2" max="2" width="28.5703125" style="6" customWidth="1"/>
    <col min="3" max="3" width="78" customWidth="1"/>
  </cols>
  <sheetData>
    <row r="3" spans="2:3" ht="15.75" thickBot="1" x14ac:dyDescent="0.3"/>
    <row r="4" spans="2:3" ht="22.5" x14ac:dyDescent="0.3">
      <c r="B4" s="10" t="s">
        <v>13</v>
      </c>
      <c r="C4" s="7" t="s">
        <v>90</v>
      </c>
    </row>
    <row r="5" spans="2:3" ht="22.5" x14ac:dyDescent="0.3">
      <c r="B5" s="11" t="s">
        <v>89</v>
      </c>
      <c r="C5" s="8" t="s">
        <v>91</v>
      </c>
    </row>
    <row r="6" spans="2:3" ht="22.5" x14ac:dyDescent="0.3">
      <c r="B6" s="11" t="s">
        <v>16</v>
      </c>
      <c r="C6" s="8" t="s">
        <v>92</v>
      </c>
    </row>
    <row r="7" spans="2:3" ht="22.5" x14ac:dyDescent="0.3">
      <c r="B7" s="11" t="s">
        <v>14</v>
      </c>
      <c r="C7" s="9" t="s">
        <v>93</v>
      </c>
    </row>
    <row r="8" spans="2:3" ht="23.25" thickBot="1" x14ac:dyDescent="0.35">
      <c r="B8" s="12" t="s">
        <v>15</v>
      </c>
      <c r="C8" s="13"/>
    </row>
    <row r="11" spans="2:3" ht="21" x14ac:dyDescent="0.35">
      <c r="B11" s="28" t="s">
        <v>24</v>
      </c>
      <c r="C11" s="29"/>
    </row>
    <row r="12" spans="2:3" ht="18.75" x14ac:dyDescent="0.25">
      <c r="B12" s="20" t="s">
        <v>36</v>
      </c>
      <c r="C12" s="20" t="s">
        <v>17</v>
      </c>
    </row>
    <row r="13" spans="2:3" ht="18.75" x14ac:dyDescent="0.3">
      <c r="B13" s="30"/>
      <c r="C13" s="19"/>
    </row>
    <row r="14" spans="2:3" ht="18.75" x14ac:dyDescent="0.3">
      <c r="B14" s="30"/>
      <c r="C14" s="19"/>
    </row>
    <row r="15" spans="2:3" ht="18.75" x14ac:dyDescent="0.3">
      <c r="B15" s="30"/>
      <c r="C15" s="19"/>
    </row>
    <row r="16" spans="2:3" ht="18.75" x14ac:dyDescent="0.3">
      <c r="B16" s="30"/>
      <c r="C16" s="19"/>
    </row>
    <row r="17" spans="2:3" ht="18.75" x14ac:dyDescent="0.3">
      <c r="B17" s="30"/>
      <c r="C17" s="19"/>
    </row>
    <row r="18" spans="2:3" ht="18.75" x14ac:dyDescent="0.3">
      <c r="B18" s="21"/>
      <c r="C18" s="19"/>
    </row>
    <row r="19" spans="2:3" ht="18.75" x14ac:dyDescent="0.3">
      <c r="B19" s="21"/>
      <c r="C19" s="19"/>
    </row>
    <row r="20" spans="2:3" ht="18.75" x14ac:dyDescent="0.3">
      <c r="B20" s="21"/>
      <c r="C20" s="19"/>
    </row>
    <row r="21" spans="2:3" ht="18.75" x14ac:dyDescent="0.3">
      <c r="B21" s="21"/>
      <c r="C21" s="19"/>
    </row>
    <row r="22" spans="2:3" ht="18.75" x14ac:dyDescent="0.3">
      <c r="B22" s="21"/>
      <c r="C22" s="19"/>
    </row>
    <row r="23" spans="2:3" ht="18.75" x14ac:dyDescent="0.3">
      <c r="B23" s="21"/>
      <c r="C23" s="19"/>
    </row>
    <row r="24" spans="2:3" ht="18.75" x14ac:dyDescent="0.3">
      <c r="B24" s="21"/>
      <c r="C24" s="19"/>
    </row>
    <row r="25" spans="2:3" ht="18.75" x14ac:dyDescent="0.3">
      <c r="B25" s="21"/>
      <c r="C25" s="19"/>
    </row>
    <row r="26" spans="2:3" ht="18.75" x14ac:dyDescent="0.3">
      <c r="B26" s="21"/>
      <c r="C26" s="19"/>
    </row>
  </sheetData>
  <dataValidations count="2">
    <dataValidation type="list" allowBlank="1" showInputMessage="1" showErrorMessage="1" sqref="B13:B26">
      <formula1>ressources</formula1>
    </dataValidation>
    <dataValidation type="list" allowBlank="1" showInputMessage="1" showErrorMessage="1" sqref="F9">
      <formula1>toto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pageSetUpPr fitToPage="1"/>
  </sheetPr>
  <dimension ref="A1:K279"/>
  <sheetViews>
    <sheetView showGridLines="0" tabSelected="1" topLeftCell="A10" zoomScale="80" zoomScaleNormal="80" workbookViewId="0">
      <selection activeCell="M25" sqref="M25"/>
    </sheetView>
  </sheetViews>
  <sheetFormatPr baseColWidth="10" defaultColWidth="11.5703125" defaultRowHeight="15" x14ac:dyDescent="0.25"/>
  <cols>
    <col min="1" max="1" width="9.85546875" style="62" customWidth="1"/>
    <col min="2" max="2" width="18.28515625" style="53" customWidth="1"/>
    <col min="3" max="3" width="20" style="60" customWidth="1"/>
    <col min="4" max="4" width="26.5703125" style="63" customWidth="1"/>
    <col min="5" max="5" width="16.85546875" style="64" customWidth="1"/>
    <col min="6" max="6" width="16" style="64" customWidth="1"/>
    <col min="7" max="7" width="35.7109375" style="37" customWidth="1"/>
    <col min="8" max="8" width="14" style="57" customWidth="1"/>
    <col min="9" max="9" width="18.7109375" style="37" customWidth="1"/>
    <col min="10" max="10" width="32.28515625" style="37" customWidth="1"/>
    <col min="11" max="16384" width="11.5703125" style="37"/>
  </cols>
  <sheetData>
    <row r="1" spans="1:11" s="44" customFormat="1" ht="12" x14ac:dyDescent="0.2">
      <c r="A1" s="39"/>
      <c r="B1" s="40"/>
      <c r="C1" s="41"/>
      <c r="D1" s="42"/>
      <c r="E1" s="43"/>
      <c r="F1" s="43"/>
      <c r="H1" s="45"/>
    </row>
    <row r="2" spans="1:11" ht="46.5" x14ac:dyDescent="0.25">
      <c r="A2" s="46" t="s">
        <v>12</v>
      </c>
      <c r="B2" s="47">
        <v>1</v>
      </c>
      <c r="C2" s="67" t="s">
        <v>45</v>
      </c>
      <c r="D2" s="67"/>
      <c r="E2" s="67"/>
      <c r="F2" s="67"/>
      <c r="G2" s="67"/>
      <c r="H2" s="48"/>
      <c r="I2" s="48"/>
      <c r="J2" s="48"/>
      <c r="K2" s="48"/>
    </row>
    <row r="3" spans="1:11" x14ac:dyDescent="0.25">
      <c r="A3" s="49" t="s">
        <v>10</v>
      </c>
      <c r="B3" s="50" t="s">
        <v>0</v>
      </c>
      <c r="C3" s="51" t="s">
        <v>19</v>
      </c>
      <c r="D3" s="49" t="s">
        <v>41</v>
      </c>
      <c r="E3" s="49" t="s">
        <v>11</v>
      </c>
      <c r="F3" s="49" t="s">
        <v>1</v>
      </c>
      <c r="G3" s="49" t="s">
        <v>42</v>
      </c>
      <c r="H3" s="49" t="s">
        <v>102</v>
      </c>
      <c r="I3" s="50" t="s">
        <v>4</v>
      </c>
      <c r="J3" s="49" t="s">
        <v>2</v>
      </c>
      <c r="K3" s="49" t="s">
        <v>3</v>
      </c>
    </row>
    <row r="4" spans="1:11" s="58" customFormat="1" ht="39.950000000000003" customHeight="1" x14ac:dyDescent="0.25">
      <c r="A4" s="65">
        <v>1</v>
      </c>
      <c r="B4" s="27" t="s">
        <v>39</v>
      </c>
      <c r="C4" s="26" t="s">
        <v>32</v>
      </c>
      <c r="D4" s="5" t="s">
        <v>106</v>
      </c>
      <c r="E4" s="22">
        <v>100</v>
      </c>
      <c r="F4" s="22">
        <v>2</v>
      </c>
      <c r="G4" s="16" t="s">
        <v>50</v>
      </c>
      <c r="H4" s="16" t="s">
        <v>103</v>
      </c>
      <c r="I4" s="15" t="s">
        <v>99</v>
      </c>
      <c r="J4" s="16"/>
      <c r="K4" s="23"/>
    </row>
    <row r="5" spans="1:11" s="58" customFormat="1" ht="39.950000000000003" customHeight="1" x14ac:dyDescent="0.25">
      <c r="A5" s="65">
        <v>1</v>
      </c>
      <c r="B5" s="27" t="s">
        <v>39</v>
      </c>
      <c r="C5" s="26" t="s">
        <v>32</v>
      </c>
      <c r="D5" s="5" t="s">
        <v>53</v>
      </c>
      <c r="E5" s="22">
        <v>100</v>
      </c>
      <c r="F5" s="22">
        <v>0.5</v>
      </c>
      <c r="G5" s="16" t="s">
        <v>94</v>
      </c>
      <c r="H5" s="16" t="s">
        <v>104</v>
      </c>
      <c r="I5" s="15" t="s">
        <v>99</v>
      </c>
      <c r="J5" s="16"/>
      <c r="K5" s="23"/>
    </row>
    <row r="6" spans="1:11" s="58" customFormat="1" ht="39.950000000000003" customHeight="1" x14ac:dyDescent="0.25">
      <c r="A6" s="65">
        <v>1</v>
      </c>
      <c r="B6" s="27" t="s">
        <v>39</v>
      </c>
      <c r="C6" s="26"/>
      <c r="D6" s="5" t="s">
        <v>51</v>
      </c>
      <c r="E6" s="22">
        <v>100</v>
      </c>
      <c r="F6" s="22">
        <v>0.5</v>
      </c>
      <c r="G6" s="16"/>
      <c r="H6" s="16" t="s">
        <v>104</v>
      </c>
      <c r="I6" s="15" t="s">
        <v>99</v>
      </c>
      <c r="J6" s="16"/>
      <c r="K6" s="23"/>
    </row>
    <row r="7" spans="1:11" s="58" customFormat="1" ht="39.950000000000003" customHeight="1" x14ac:dyDescent="0.25">
      <c r="A7" s="65">
        <v>1</v>
      </c>
      <c r="B7" s="27" t="s">
        <v>39</v>
      </c>
      <c r="C7" s="26" t="s">
        <v>32</v>
      </c>
      <c r="D7" s="5" t="s">
        <v>54</v>
      </c>
      <c r="E7" s="22">
        <v>95</v>
      </c>
      <c r="F7" s="22">
        <v>0.5</v>
      </c>
      <c r="G7" s="16" t="s">
        <v>95</v>
      </c>
      <c r="H7" s="16"/>
      <c r="I7" s="15" t="s">
        <v>99</v>
      </c>
      <c r="J7" s="16"/>
      <c r="K7" s="23"/>
    </row>
    <row r="8" spans="1:11" s="58" customFormat="1" ht="39.950000000000003" customHeight="1" x14ac:dyDescent="0.25">
      <c r="A8" s="27">
        <v>1</v>
      </c>
      <c r="B8" s="27" t="s">
        <v>82</v>
      </c>
      <c r="C8" s="26"/>
      <c r="D8" s="5" t="s">
        <v>47</v>
      </c>
      <c r="E8" s="22">
        <v>90</v>
      </c>
      <c r="F8" s="22">
        <v>2</v>
      </c>
      <c r="G8" s="16" t="s">
        <v>50</v>
      </c>
      <c r="H8" s="16" t="s">
        <v>103</v>
      </c>
      <c r="I8" s="15" t="s">
        <v>21</v>
      </c>
      <c r="J8" s="16"/>
      <c r="K8" s="23"/>
    </row>
    <row r="9" spans="1:11" s="58" customFormat="1" ht="39.950000000000003" customHeight="1" x14ac:dyDescent="0.25">
      <c r="A9" s="27">
        <v>1</v>
      </c>
      <c r="B9" s="27" t="s">
        <v>82</v>
      </c>
      <c r="C9" s="26"/>
      <c r="D9" s="5" t="s">
        <v>48</v>
      </c>
      <c r="E9" s="22">
        <v>90</v>
      </c>
      <c r="F9" s="22">
        <v>3</v>
      </c>
      <c r="G9" s="16" t="s">
        <v>50</v>
      </c>
      <c r="H9" s="16" t="s">
        <v>105</v>
      </c>
      <c r="I9" s="15" t="s">
        <v>21</v>
      </c>
      <c r="J9" s="16"/>
      <c r="K9" s="23"/>
    </row>
    <row r="10" spans="1:11" s="58" customFormat="1" ht="39.950000000000003" customHeight="1" x14ac:dyDescent="0.25">
      <c r="A10" s="66">
        <v>1</v>
      </c>
      <c r="B10" s="27" t="s">
        <v>39</v>
      </c>
      <c r="C10" s="38" t="s">
        <v>33</v>
      </c>
      <c r="D10" s="34" t="s">
        <v>69</v>
      </c>
      <c r="E10" s="22">
        <v>90</v>
      </c>
      <c r="F10" s="22">
        <v>1.5</v>
      </c>
      <c r="G10" s="16"/>
      <c r="H10" s="16" t="s">
        <v>107</v>
      </c>
      <c r="I10" s="15" t="s">
        <v>99</v>
      </c>
      <c r="J10" s="16"/>
      <c r="K10" s="23"/>
    </row>
    <row r="11" spans="1:11" s="58" customFormat="1" ht="39.950000000000003" customHeight="1" x14ac:dyDescent="0.25">
      <c r="A11" s="65">
        <v>2</v>
      </c>
      <c r="B11" s="27" t="s">
        <v>39</v>
      </c>
      <c r="C11" s="26"/>
      <c r="D11" s="5" t="s">
        <v>52</v>
      </c>
      <c r="E11" s="22">
        <v>90</v>
      </c>
      <c r="F11" s="22">
        <v>1</v>
      </c>
      <c r="G11" s="16"/>
      <c r="H11" s="16"/>
      <c r="I11" s="15" t="s">
        <v>99</v>
      </c>
      <c r="J11" s="16"/>
      <c r="K11" s="23"/>
    </row>
    <row r="12" spans="1:11" s="58" customFormat="1" ht="39.950000000000003" customHeight="1" x14ac:dyDescent="0.25">
      <c r="A12" s="27">
        <v>2</v>
      </c>
      <c r="B12" s="27" t="s">
        <v>39</v>
      </c>
      <c r="C12" s="26" t="s">
        <v>32</v>
      </c>
      <c r="D12" s="4" t="s">
        <v>57</v>
      </c>
      <c r="E12" s="22">
        <v>90</v>
      </c>
      <c r="F12" s="22">
        <v>1</v>
      </c>
      <c r="G12" s="16" t="s">
        <v>95</v>
      </c>
      <c r="H12" s="16"/>
      <c r="I12" s="15" t="s">
        <v>99</v>
      </c>
      <c r="J12" s="16"/>
      <c r="K12" s="23"/>
    </row>
    <row r="13" spans="1:11" s="58" customFormat="1" ht="39.950000000000003" customHeight="1" x14ac:dyDescent="0.25">
      <c r="A13" s="27">
        <v>1</v>
      </c>
      <c r="B13" s="27" t="s">
        <v>82</v>
      </c>
      <c r="C13" s="26"/>
      <c r="D13" s="3" t="s">
        <v>49</v>
      </c>
      <c r="E13" s="22">
        <v>90</v>
      </c>
      <c r="F13" s="22">
        <v>1</v>
      </c>
      <c r="G13" s="16" t="s">
        <v>50</v>
      </c>
      <c r="H13" s="16" t="s">
        <v>104</v>
      </c>
      <c r="I13" s="15" t="s">
        <v>21</v>
      </c>
      <c r="J13" s="16"/>
      <c r="K13" s="23"/>
    </row>
    <row r="14" spans="1:11" s="58" customFormat="1" ht="39.950000000000003" customHeight="1" x14ac:dyDescent="0.25">
      <c r="A14" s="65">
        <v>2</v>
      </c>
      <c r="B14" s="27" t="s">
        <v>39</v>
      </c>
      <c r="C14" s="26" t="s">
        <v>32</v>
      </c>
      <c r="D14" s="5" t="s">
        <v>61</v>
      </c>
      <c r="E14" s="22">
        <v>85</v>
      </c>
      <c r="F14" s="22">
        <v>0.5</v>
      </c>
      <c r="G14" s="16"/>
      <c r="H14" s="16"/>
      <c r="I14" s="15" t="s">
        <v>99</v>
      </c>
      <c r="J14" s="16"/>
      <c r="K14" s="23"/>
    </row>
    <row r="15" spans="1:11" s="58" customFormat="1" ht="39.950000000000003" customHeight="1" x14ac:dyDescent="0.25">
      <c r="A15" s="27">
        <v>2</v>
      </c>
      <c r="B15" s="27" t="s">
        <v>39</v>
      </c>
      <c r="C15" s="26" t="s">
        <v>33</v>
      </c>
      <c r="D15" s="5" t="s">
        <v>62</v>
      </c>
      <c r="E15" s="22">
        <v>85</v>
      </c>
      <c r="F15" s="22">
        <v>1</v>
      </c>
      <c r="G15" s="16"/>
      <c r="H15" s="16"/>
      <c r="I15" s="15" t="s">
        <v>99</v>
      </c>
      <c r="J15" s="16"/>
      <c r="K15" s="23"/>
    </row>
    <row r="16" spans="1:11" s="58" customFormat="1" ht="39.950000000000003" customHeight="1" x14ac:dyDescent="0.25">
      <c r="A16" s="65">
        <v>2</v>
      </c>
      <c r="B16" s="27" t="s">
        <v>39</v>
      </c>
      <c r="C16" s="26" t="s">
        <v>86</v>
      </c>
      <c r="D16" s="5" t="s">
        <v>55</v>
      </c>
      <c r="E16" s="22">
        <v>85</v>
      </c>
      <c r="F16" s="22">
        <v>1</v>
      </c>
      <c r="G16" s="16" t="s">
        <v>50</v>
      </c>
      <c r="H16" s="16"/>
      <c r="I16" s="15" t="s">
        <v>99</v>
      </c>
      <c r="J16" s="16"/>
      <c r="K16" s="23"/>
    </row>
    <row r="17" spans="1:11" s="58" customFormat="1" ht="39.950000000000003" customHeight="1" x14ac:dyDescent="0.25">
      <c r="A17" s="66">
        <v>1</v>
      </c>
      <c r="B17" s="27" t="s">
        <v>39</v>
      </c>
      <c r="C17" s="38" t="s">
        <v>87</v>
      </c>
      <c r="D17" s="34" t="s">
        <v>72</v>
      </c>
      <c r="E17" s="22">
        <v>85</v>
      </c>
      <c r="F17" s="22">
        <v>0.5</v>
      </c>
      <c r="G17" s="16" t="s">
        <v>50</v>
      </c>
      <c r="H17" s="16" t="s">
        <v>104</v>
      </c>
      <c r="I17" s="15" t="s">
        <v>99</v>
      </c>
      <c r="J17" s="16"/>
      <c r="K17" s="23"/>
    </row>
    <row r="18" spans="1:11" s="58" customFormat="1" ht="39.950000000000003" customHeight="1" x14ac:dyDescent="0.25">
      <c r="A18" s="66"/>
      <c r="B18" s="27" t="s">
        <v>39</v>
      </c>
      <c r="C18" s="38" t="s">
        <v>86</v>
      </c>
      <c r="D18" s="34" t="s">
        <v>66</v>
      </c>
      <c r="E18" s="22">
        <v>80</v>
      </c>
      <c r="F18" s="22">
        <v>2</v>
      </c>
      <c r="G18" s="16"/>
      <c r="H18" s="16"/>
      <c r="I18" s="15" t="s">
        <v>99</v>
      </c>
      <c r="J18" s="16"/>
      <c r="K18" s="23"/>
    </row>
    <row r="19" spans="1:11" s="58" customFormat="1" ht="39.950000000000003" customHeight="1" x14ac:dyDescent="0.25">
      <c r="A19" s="27"/>
      <c r="B19" s="27" t="s">
        <v>39</v>
      </c>
      <c r="C19" s="26" t="s">
        <v>86</v>
      </c>
      <c r="D19" s="5" t="s">
        <v>64</v>
      </c>
      <c r="E19" s="22">
        <v>70</v>
      </c>
      <c r="F19" s="22">
        <v>2</v>
      </c>
      <c r="G19" s="16" t="s">
        <v>50</v>
      </c>
      <c r="H19" s="16"/>
      <c r="I19" s="15" t="s">
        <v>99</v>
      </c>
      <c r="J19" s="16"/>
      <c r="K19" s="23"/>
    </row>
    <row r="20" spans="1:11" s="58" customFormat="1" ht="39.950000000000003" customHeight="1" x14ac:dyDescent="0.25">
      <c r="A20" s="66">
        <v>2</v>
      </c>
      <c r="B20" s="27" t="s">
        <v>39</v>
      </c>
      <c r="C20" s="38" t="s">
        <v>32</v>
      </c>
      <c r="D20" s="34" t="s">
        <v>70</v>
      </c>
      <c r="E20" s="22">
        <v>80</v>
      </c>
      <c r="F20" s="22">
        <v>1.5</v>
      </c>
      <c r="G20" s="16" t="s">
        <v>94</v>
      </c>
      <c r="H20" s="16"/>
      <c r="I20" s="15" t="s">
        <v>99</v>
      </c>
      <c r="J20" s="16"/>
      <c r="K20" s="23"/>
    </row>
    <row r="21" spans="1:11" s="58" customFormat="1" ht="39.950000000000003" customHeight="1" x14ac:dyDescent="0.25">
      <c r="A21" s="27"/>
      <c r="B21" s="27" t="s">
        <v>39</v>
      </c>
      <c r="C21" s="26" t="s">
        <v>86</v>
      </c>
      <c r="D21" s="5" t="s">
        <v>59</v>
      </c>
      <c r="E21" s="22">
        <v>75</v>
      </c>
      <c r="F21" s="22" t="s">
        <v>56</v>
      </c>
      <c r="G21" s="16"/>
      <c r="H21" s="16"/>
      <c r="I21" s="15" t="s">
        <v>99</v>
      </c>
      <c r="J21" s="16"/>
      <c r="K21" s="23"/>
    </row>
    <row r="22" spans="1:11" s="58" customFormat="1" ht="39.950000000000003" customHeight="1" x14ac:dyDescent="0.25">
      <c r="A22" s="65"/>
      <c r="B22" s="27" t="s">
        <v>39</v>
      </c>
      <c r="C22" s="26" t="s">
        <v>32</v>
      </c>
      <c r="D22" s="5" t="s">
        <v>63</v>
      </c>
      <c r="E22" s="22">
        <v>75</v>
      </c>
      <c r="F22" s="22">
        <v>1</v>
      </c>
      <c r="G22" s="16" t="s">
        <v>96</v>
      </c>
      <c r="H22" s="16"/>
      <c r="I22" s="15" t="s">
        <v>99</v>
      </c>
      <c r="J22" s="16"/>
      <c r="K22" s="23"/>
    </row>
    <row r="23" spans="1:11" s="58" customFormat="1" ht="39.950000000000003" customHeight="1" x14ac:dyDescent="0.25">
      <c r="A23" s="65"/>
      <c r="B23" s="27" t="s">
        <v>39</v>
      </c>
      <c r="C23" s="26" t="s">
        <v>86</v>
      </c>
      <c r="D23" s="5" t="s">
        <v>88</v>
      </c>
      <c r="E23" s="22">
        <v>75</v>
      </c>
      <c r="F23" s="22" t="s">
        <v>56</v>
      </c>
      <c r="G23" s="16"/>
      <c r="H23" s="16"/>
      <c r="I23" s="15" t="s">
        <v>99</v>
      </c>
      <c r="J23" s="16"/>
      <c r="K23" s="23"/>
    </row>
    <row r="24" spans="1:11" s="58" customFormat="1" ht="39.950000000000003" customHeight="1" x14ac:dyDescent="0.25">
      <c r="A24" s="65"/>
      <c r="B24" s="27" t="s">
        <v>39</v>
      </c>
      <c r="C24" s="26" t="s">
        <v>86</v>
      </c>
      <c r="D24" s="5" t="s">
        <v>65</v>
      </c>
      <c r="E24" s="22">
        <v>70</v>
      </c>
      <c r="F24" s="22" t="s">
        <v>56</v>
      </c>
      <c r="G24" s="16"/>
      <c r="H24" s="16"/>
      <c r="I24" s="15" t="s">
        <v>99</v>
      </c>
      <c r="J24" s="16"/>
      <c r="K24" s="23"/>
    </row>
    <row r="25" spans="1:11" s="58" customFormat="1" ht="39.950000000000003" customHeight="1" x14ac:dyDescent="0.25">
      <c r="A25" s="66"/>
      <c r="B25" s="27" t="s">
        <v>39</v>
      </c>
      <c r="C25" s="38" t="s">
        <v>32</v>
      </c>
      <c r="D25" s="34" t="s">
        <v>67</v>
      </c>
      <c r="E25" s="22">
        <v>70</v>
      </c>
      <c r="F25" s="22">
        <v>2</v>
      </c>
      <c r="G25" s="16" t="s">
        <v>94</v>
      </c>
      <c r="H25" s="16"/>
      <c r="I25" s="15" t="s">
        <v>99</v>
      </c>
      <c r="J25" s="16"/>
      <c r="K25" s="23"/>
    </row>
    <row r="26" spans="1:11" s="58" customFormat="1" ht="39.950000000000003" customHeight="1" x14ac:dyDescent="0.25">
      <c r="A26" s="27"/>
      <c r="B26" s="27" t="s">
        <v>39</v>
      </c>
      <c r="C26" s="26" t="s">
        <v>33</v>
      </c>
      <c r="D26" s="5" t="s">
        <v>77</v>
      </c>
      <c r="E26" s="22">
        <v>55</v>
      </c>
      <c r="F26" s="22">
        <v>2</v>
      </c>
      <c r="G26" s="16"/>
      <c r="H26" s="16"/>
      <c r="I26" s="15" t="s">
        <v>99</v>
      </c>
      <c r="J26" s="16"/>
      <c r="K26" s="23"/>
    </row>
    <row r="27" spans="1:11" s="58" customFormat="1" ht="39.950000000000003" customHeight="1" x14ac:dyDescent="0.25">
      <c r="A27" s="66"/>
      <c r="B27" s="27" t="s">
        <v>39</v>
      </c>
      <c r="C27" s="38" t="s">
        <v>87</v>
      </c>
      <c r="D27" s="34" t="s">
        <v>71</v>
      </c>
      <c r="E27" s="22">
        <v>70</v>
      </c>
      <c r="F27" s="22">
        <v>1</v>
      </c>
      <c r="G27" s="16" t="s">
        <v>50</v>
      </c>
      <c r="H27" s="16"/>
      <c r="I27" s="15" t="s">
        <v>99</v>
      </c>
      <c r="J27" s="16"/>
      <c r="K27" s="23"/>
    </row>
    <row r="28" spans="1:11" s="58" customFormat="1" ht="39.950000000000003" customHeight="1" x14ac:dyDescent="0.25">
      <c r="A28" s="27"/>
      <c r="B28" s="27" t="s">
        <v>39</v>
      </c>
      <c r="C28" s="26" t="s">
        <v>32</v>
      </c>
      <c r="D28" s="5" t="s">
        <v>60</v>
      </c>
      <c r="E28" s="22">
        <v>70</v>
      </c>
      <c r="F28" s="22">
        <v>1</v>
      </c>
      <c r="G28" s="16" t="s">
        <v>50</v>
      </c>
      <c r="H28" s="16"/>
      <c r="I28" s="15" t="s">
        <v>99</v>
      </c>
      <c r="J28" s="16"/>
      <c r="K28" s="23"/>
    </row>
    <row r="29" spans="1:11" s="58" customFormat="1" ht="39.950000000000003" customHeight="1" x14ac:dyDescent="0.25">
      <c r="A29" s="66"/>
      <c r="B29" s="27" t="s">
        <v>39</v>
      </c>
      <c r="C29" s="38" t="s">
        <v>87</v>
      </c>
      <c r="D29" s="34" t="s">
        <v>73</v>
      </c>
      <c r="E29" s="22">
        <v>70</v>
      </c>
      <c r="F29" s="22">
        <v>0.5</v>
      </c>
      <c r="G29" s="16" t="s">
        <v>50</v>
      </c>
      <c r="H29" s="16"/>
      <c r="I29" s="15" t="s">
        <v>99</v>
      </c>
      <c r="J29" s="16"/>
      <c r="K29" s="23"/>
    </row>
    <row r="30" spans="1:11" s="58" customFormat="1" ht="39.950000000000003" customHeight="1" x14ac:dyDescent="0.25">
      <c r="A30" s="66"/>
      <c r="B30" s="27" t="s">
        <v>39</v>
      </c>
      <c r="C30" s="38" t="s">
        <v>32</v>
      </c>
      <c r="D30" s="34" t="s">
        <v>68</v>
      </c>
      <c r="E30" s="22">
        <v>65</v>
      </c>
      <c r="F30" s="22">
        <v>2</v>
      </c>
      <c r="G30" s="16" t="s">
        <v>94</v>
      </c>
      <c r="H30" s="16"/>
      <c r="I30" s="15" t="s">
        <v>99</v>
      </c>
      <c r="J30" s="16"/>
      <c r="K30" s="23"/>
    </row>
    <row r="31" spans="1:11" s="58" customFormat="1" ht="39.950000000000003" customHeight="1" x14ac:dyDescent="0.25">
      <c r="A31" s="65"/>
      <c r="B31" s="27" t="s">
        <v>39</v>
      </c>
      <c r="C31" s="26" t="s">
        <v>87</v>
      </c>
      <c r="D31" s="5" t="s">
        <v>78</v>
      </c>
      <c r="E31" s="22">
        <v>65</v>
      </c>
      <c r="F31" s="22">
        <v>0.5</v>
      </c>
      <c r="G31" s="16" t="s">
        <v>50</v>
      </c>
      <c r="H31" s="16"/>
      <c r="I31" s="15" t="s">
        <v>99</v>
      </c>
      <c r="J31" s="16"/>
      <c r="K31" s="23"/>
    </row>
    <row r="32" spans="1:11" s="58" customFormat="1" ht="39.950000000000003" customHeight="1" x14ac:dyDescent="0.25">
      <c r="A32" s="27"/>
      <c r="B32" s="27" t="s">
        <v>39</v>
      </c>
      <c r="C32" s="26" t="s">
        <v>87</v>
      </c>
      <c r="D32" s="5" t="s">
        <v>58</v>
      </c>
      <c r="E32" s="22">
        <v>60</v>
      </c>
      <c r="F32" s="22">
        <v>1.5</v>
      </c>
      <c r="G32" s="16" t="s">
        <v>50</v>
      </c>
      <c r="H32" s="16"/>
      <c r="I32" s="15" t="s">
        <v>99</v>
      </c>
      <c r="J32" s="16"/>
      <c r="K32" s="23"/>
    </row>
    <row r="33" spans="1:11" s="58" customFormat="1" ht="39.950000000000003" customHeight="1" x14ac:dyDescent="0.25">
      <c r="A33" s="66"/>
      <c r="B33" s="27" t="s">
        <v>39</v>
      </c>
      <c r="C33" s="38" t="s">
        <v>87</v>
      </c>
      <c r="D33" s="34" t="s">
        <v>75</v>
      </c>
      <c r="E33" s="22">
        <v>60</v>
      </c>
      <c r="F33" s="22">
        <v>1</v>
      </c>
      <c r="G33" s="16" t="s">
        <v>97</v>
      </c>
      <c r="H33" s="16"/>
      <c r="I33" s="15" t="s">
        <v>99</v>
      </c>
      <c r="J33" s="16"/>
      <c r="K33" s="23"/>
    </row>
    <row r="34" spans="1:11" s="58" customFormat="1" ht="39.950000000000003" customHeight="1" x14ac:dyDescent="0.25">
      <c r="A34" s="66"/>
      <c r="B34" s="27" t="s">
        <v>39</v>
      </c>
      <c r="C34" s="38" t="s">
        <v>32</v>
      </c>
      <c r="D34" s="34" t="s">
        <v>81</v>
      </c>
      <c r="E34" s="22">
        <v>60</v>
      </c>
      <c r="F34" s="22">
        <v>1.5</v>
      </c>
      <c r="G34" s="16"/>
      <c r="H34" s="16"/>
      <c r="I34" s="15" t="s">
        <v>99</v>
      </c>
      <c r="J34" s="16"/>
      <c r="K34" s="23"/>
    </row>
    <row r="35" spans="1:11" s="58" customFormat="1" ht="39.950000000000003" customHeight="1" x14ac:dyDescent="0.25">
      <c r="A35" s="66"/>
      <c r="B35" s="27" t="s">
        <v>39</v>
      </c>
      <c r="C35" s="38" t="s">
        <v>87</v>
      </c>
      <c r="D35" s="34" t="s">
        <v>74</v>
      </c>
      <c r="E35" s="22">
        <v>50</v>
      </c>
      <c r="F35" s="22">
        <v>0.5</v>
      </c>
      <c r="G35" s="16" t="s">
        <v>50</v>
      </c>
      <c r="H35" s="16"/>
      <c r="I35" s="15" t="s">
        <v>99</v>
      </c>
      <c r="J35" s="16"/>
      <c r="K35" s="23"/>
    </row>
    <row r="36" spans="1:11" s="58" customFormat="1" ht="39.950000000000003" customHeight="1" x14ac:dyDescent="0.25">
      <c r="A36" s="65"/>
      <c r="B36" s="27" t="s">
        <v>83</v>
      </c>
      <c r="C36" s="26"/>
      <c r="D36" s="5" t="s">
        <v>80</v>
      </c>
      <c r="E36" s="22">
        <v>40</v>
      </c>
      <c r="F36" s="22">
        <v>2</v>
      </c>
      <c r="G36" s="16" t="s">
        <v>50</v>
      </c>
      <c r="H36" s="16"/>
      <c r="I36" s="15" t="s">
        <v>99</v>
      </c>
      <c r="J36" s="16"/>
      <c r="K36" s="23"/>
    </row>
    <row r="37" spans="1:11" s="58" customFormat="1" ht="39.950000000000003" customHeight="1" x14ac:dyDescent="0.25">
      <c r="A37" s="27"/>
      <c r="B37" s="27" t="s">
        <v>82</v>
      </c>
      <c r="C37" s="26"/>
      <c r="D37" s="5" t="s">
        <v>79</v>
      </c>
      <c r="E37" s="22">
        <v>40</v>
      </c>
      <c r="F37" s="22">
        <v>2</v>
      </c>
      <c r="G37" s="16" t="s">
        <v>50</v>
      </c>
      <c r="H37" s="16"/>
      <c r="I37" s="15" t="s">
        <v>99</v>
      </c>
      <c r="J37" s="16"/>
      <c r="K37" s="23"/>
    </row>
    <row r="38" spans="1:11" s="58" customFormat="1" ht="39.950000000000003" customHeight="1" x14ac:dyDescent="0.25">
      <c r="A38" s="27"/>
      <c r="B38" s="27" t="s">
        <v>83</v>
      </c>
      <c r="C38" s="26"/>
      <c r="D38" s="4" t="s">
        <v>85</v>
      </c>
      <c r="E38" s="22">
        <v>30</v>
      </c>
      <c r="F38" s="22">
        <v>2</v>
      </c>
      <c r="G38" s="16" t="s">
        <v>98</v>
      </c>
      <c r="H38" s="16"/>
      <c r="I38" s="15" t="s">
        <v>99</v>
      </c>
      <c r="J38" s="16"/>
      <c r="K38" s="23"/>
    </row>
    <row r="39" spans="1:11" s="58" customFormat="1" ht="39.950000000000003" customHeight="1" x14ac:dyDescent="0.25">
      <c r="A39" s="66"/>
      <c r="B39" s="27" t="s">
        <v>39</v>
      </c>
      <c r="C39" s="38" t="s">
        <v>87</v>
      </c>
      <c r="D39" s="34" t="s">
        <v>76</v>
      </c>
      <c r="E39" s="22">
        <v>30</v>
      </c>
      <c r="F39" s="22">
        <v>0.5</v>
      </c>
      <c r="G39" s="16" t="s">
        <v>50</v>
      </c>
      <c r="H39" s="16"/>
      <c r="I39" s="15" t="s">
        <v>99</v>
      </c>
      <c r="J39" s="16"/>
      <c r="K39" s="23"/>
    </row>
    <row r="40" spans="1:11" s="58" customFormat="1" ht="39.950000000000003" customHeight="1" x14ac:dyDescent="0.25">
      <c r="A40" s="25"/>
      <c r="B40" s="27"/>
      <c r="C40" s="26"/>
      <c r="D40" s="5"/>
      <c r="E40" s="22"/>
      <c r="F40" s="22"/>
      <c r="G40" s="16"/>
      <c r="H40" s="16"/>
      <c r="I40" s="15"/>
      <c r="J40" s="16"/>
      <c r="K40" s="23"/>
    </row>
    <row r="41" spans="1:11" s="58" customFormat="1" x14ac:dyDescent="0.25">
      <c r="A41" s="25"/>
      <c r="B41" s="27"/>
      <c r="C41" s="31"/>
      <c r="D41" s="5"/>
      <c r="E41" s="22"/>
      <c r="F41" s="24"/>
      <c r="G41" s="16"/>
      <c r="H41" s="16"/>
      <c r="I41" s="15"/>
      <c r="J41" s="16"/>
      <c r="K41" s="23"/>
    </row>
    <row r="42" spans="1:11" s="58" customFormat="1" x14ac:dyDescent="0.25">
      <c r="A42" s="32" t="s">
        <v>20</v>
      </c>
      <c r="B42" s="33"/>
      <c r="C42" s="61"/>
      <c r="D42" s="59"/>
      <c r="E42" s="54"/>
      <c r="F42" s="55">
        <f>SUBTOTAL(109,Tableau1[Estimation])</f>
        <v>42.5</v>
      </c>
      <c r="G42" s="56"/>
      <c r="H42" s="56"/>
      <c r="I42" s="57"/>
      <c r="J42" s="56"/>
      <c r="K42" s="58">
        <f>SUBTOTAL(103,Tableau1[Bug])</f>
        <v>0</v>
      </c>
    </row>
    <row r="43" spans="1:11" s="58" customFormat="1" x14ac:dyDescent="0.25">
      <c r="A43" s="52"/>
      <c r="B43" s="53"/>
      <c r="C43" s="60"/>
      <c r="D43" s="57"/>
      <c r="E43" s="54"/>
      <c r="F43" s="54"/>
      <c r="H43" s="57"/>
    </row>
    <row r="44" spans="1:11" s="58" customFormat="1" x14ac:dyDescent="0.25">
      <c r="A44" s="52"/>
      <c r="B44" s="53"/>
      <c r="C44" s="60"/>
      <c r="D44" s="57"/>
      <c r="E44" s="54"/>
      <c r="F44" s="54"/>
      <c r="H44" s="57"/>
    </row>
    <row r="45" spans="1:11" s="58" customFormat="1" x14ac:dyDescent="0.25">
      <c r="A45" s="52"/>
      <c r="B45" s="53"/>
      <c r="C45" s="60"/>
      <c r="D45" s="57"/>
      <c r="E45" s="54"/>
      <c r="F45" s="54"/>
      <c r="H45" s="57"/>
    </row>
    <row r="46" spans="1:11" s="58" customFormat="1" x14ac:dyDescent="0.25">
      <c r="A46" s="52"/>
      <c r="B46" s="53"/>
      <c r="C46" s="60"/>
      <c r="D46" s="57"/>
      <c r="E46" s="54"/>
      <c r="F46" s="54"/>
      <c r="H46" s="57"/>
    </row>
    <row r="47" spans="1:11" s="58" customFormat="1" x14ac:dyDescent="0.25">
      <c r="A47" s="52"/>
      <c r="B47" s="53"/>
      <c r="C47" s="60"/>
      <c r="D47" s="57"/>
      <c r="E47" s="54"/>
      <c r="F47" s="54"/>
      <c r="H47" s="57"/>
    </row>
    <row r="48" spans="1:11" s="58" customFormat="1" x14ac:dyDescent="0.25">
      <c r="A48" s="52"/>
      <c r="B48" s="53"/>
      <c r="C48" s="60"/>
      <c r="D48" s="57"/>
      <c r="E48" s="54"/>
      <c r="F48" s="54"/>
      <c r="H48" s="57"/>
    </row>
    <row r="49" spans="1:8" s="58" customFormat="1" x14ac:dyDescent="0.25">
      <c r="A49" s="52"/>
      <c r="B49" s="53"/>
      <c r="C49" s="60"/>
      <c r="D49" s="57"/>
      <c r="E49" s="54"/>
      <c r="F49" s="54"/>
      <c r="H49" s="57"/>
    </row>
    <row r="50" spans="1:8" s="58" customFormat="1" x14ac:dyDescent="0.25">
      <c r="A50" s="52"/>
      <c r="B50" s="53"/>
      <c r="C50" s="60"/>
      <c r="D50" s="57"/>
      <c r="E50" s="54"/>
      <c r="F50" s="54"/>
      <c r="H50" s="57"/>
    </row>
    <row r="51" spans="1:8" s="58" customFormat="1" x14ac:dyDescent="0.25">
      <c r="A51" s="52"/>
      <c r="B51" s="53"/>
      <c r="C51" s="60"/>
      <c r="D51" s="57"/>
      <c r="E51" s="54"/>
      <c r="F51" s="54"/>
      <c r="H51" s="57"/>
    </row>
    <row r="52" spans="1:8" s="58" customFormat="1" x14ac:dyDescent="0.25">
      <c r="A52" s="52"/>
      <c r="B52" s="53"/>
      <c r="C52" s="60"/>
      <c r="D52" s="57"/>
      <c r="E52" s="54"/>
      <c r="F52" s="54"/>
      <c r="H52" s="57"/>
    </row>
    <row r="53" spans="1:8" s="58" customFormat="1" x14ac:dyDescent="0.25">
      <c r="A53" s="52"/>
      <c r="B53" s="53"/>
      <c r="C53" s="60"/>
      <c r="D53" s="57"/>
      <c r="E53" s="54"/>
      <c r="F53" s="54"/>
      <c r="H53" s="57"/>
    </row>
    <row r="54" spans="1:8" s="58" customFormat="1" x14ac:dyDescent="0.25">
      <c r="A54" s="52"/>
      <c r="B54" s="53"/>
      <c r="C54" s="60"/>
      <c r="D54" s="57"/>
      <c r="E54" s="54"/>
      <c r="F54" s="54"/>
      <c r="H54" s="57"/>
    </row>
    <row r="55" spans="1:8" s="58" customFormat="1" x14ac:dyDescent="0.25">
      <c r="A55" s="52"/>
      <c r="B55" s="53"/>
      <c r="C55" s="60"/>
      <c r="D55" s="57"/>
      <c r="E55" s="54"/>
      <c r="F55" s="54"/>
      <c r="H55" s="57"/>
    </row>
    <row r="56" spans="1:8" s="58" customFormat="1" x14ac:dyDescent="0.25">
      <c r="A56" s="52"/>
      <c r="B56" s="53"/>
      <c r="C56" s="60"/>
      <c r="D56" s="57"/>
      <c r="E56" s="54"/>
      <c r="F56" s="54"/>
      <c r="H56" s="57"/>
    </row>
    <row r="57" spans="1:8" s="58" customFormat="1" x14ac:dyDescent="0.25">
      <c r="A57" s="52"/>
      <c r="B57" s="53"/>
      <c r="C57" s="60"/>
      <c r="D57" s="57"/>
      <c r="E57" s="54"/>
      <c r="F57" s="54"/>
      <c r="H57" s="57"/>
    </row>
    <row r="58" spans="1:8" s="58" customFormat="1" x14ac:dyDescent="0.25">
      <c r="A58" s="52"/>
      <c r="B58" s="53"/>
      <c r="C58" s="60"/>
      <c r="D58" s="57"/>
      <c r="E58" s="54"/>
      <c r="F58" s="54"/>
      <c r="H58" s="57"/>
    </row>
    <row r="59" spans="1:8" s="58" customFormat="1" x14ac:dyDescent="0.25">
      <c r="A59" s="52"/>
      <c r="B59" s="53"/>
      <c r="C59" s="60"/>
      <c r="D59" s="57"/>
      <c r="E59" s="54"/>
      <c r="F59" s="54"/>
      <c r="H59" s="57"/>
    </row>
    <row r="60" spans="1:8" s="58" customFormat="1" x14ac:dyDescent="0.25">
      <c r="A60" s="52"/>
      <c r="B60" s="53"/>
      <c r="C60" s="60"/>
      <c r="D60" s="57"/>
      <c r="E60" s="54"/>
      <c r="F60" s="54"/>
      <c r="H60" s="57"/>
    </row>
    <row r="61" spans="1:8" s="58" customFormat="1" x14ac:dyDescent="0.25">
      <c r="A61" s="52"/>
      <c r="B61" s="53"/>
      <c r="C61" s="60"/>
      <c r="D61" s="57"/>
      <c r="E61" s="54"/>
      <c r="F61" s="54"/>
      <c r="H61" s="57"/>
    </row>
    <row r="62" spans="1:8" s="58" customFormat="1" x14ac:dyDescent="0.25">
      <c r="A62" s="52"/>
      <c r="B62" s="53"/>
      <c r="C62" s="60"/>
      <c r="D62" s="57"/>
      <c r="E62" s="54"/>
      <c r="F62" s="54"/>
      <c r="H62" s="57"/>
    </row>
    <row r="63" spans="1:8" s="58" customFormat="1" x14ac:dyDescent="0.25">
      <c r="A63" s="52"/>
      <c r="B63" s="53"/>
      <c r="C63" s="60"/>
      <c r="D63" s="57"/>
      <c r="E63" s="54"/>
      <c r="F63" s="54"/>
      <c r="H63" s="57"/>
    </row>
    <row r="64" spans="1:8" s="58" customFormat="1" x14ac:dyDescent="0.25">
      <c r="A64" s="52"/>
      <c r="B64" s="53"/>
      <c r="C64" s="60"/>
      <c r="D64" s="57"/>
      <c r="E64" s="54"/>
      <c r="F64" s="54"/>
      <c r="H64" s="57"/>
    </row>
    <row r="65" spans="1:8" s="58" customFormat="1" x14ac:dyDescent="0.25">
      <c r="A65" s="52"/>
      <c r="B65" s="53"/>
      <c r="C65" s="60"/>
      <c r="D65" s="57"/>
      <c r="E65" s="54"/>
      <c r="F65" s="54"/>
      <c r="H65" s="57"/>
    </row>
    <row r="66" spans="1:8" s="58" customFormat="1" x14ac:dyDescent="0.25">
      <c r="A66" s="52"/>
      <c r="B66" s="53"/>
      <c r="C66" s="60"/>
      <c r="D66" s="57"/>
      <c r="E66" s="54"/>
      <c r="F66" s="54"/>
      <c r="H66" s="57"/>
    </row>
    <row r="67" spans="1:8" s="58" customFormat="1" x14ac:dyDescent="0.25">
      <c r="A67" s="52"/>
      <c r="B67" s="53"/>
      <c r="C67" s="60"/>
      <c r="D67" s="57"/>
      <c r="E67" s="54"/>
      <c r="F67" s="54"/>
      <c r="H67" s="57"/>
    </row>
    <row r="68" spans="1:8" s="58" customFormat="1" x14ac:dyDescent="0.25">
      <c r="A68" s="52"/>
      <c r="B68" s="53"/>
      <c r="C68" s="60"/>
      <c r="D68" s="57"/>
      <c r="E68" s="54"/>
      <c r="F68" s="54"/>
      <c r="H68" s="57"/>
    </row>
    <row r="69" spans="1:8" s="58" customFormat="1" x14ac:dyDescent="0.25">
      <c r="A69" s="52"/>
      <c r="B69" s="53"/>
      <c r="C69" s="60"/>
      <c r="D69" s="57"/>
      <c r="E69" s="54"/>
      <c r="F69" s="54"/>
      <c r="H69" s="57"/>
    </row>
    <row r="70" spans="1:8" s="58" customFormat="1" x14ac:dyDescent="0.25">
      <c r="A70" s="52"/>
      <c r="B70" s="53"/>
      <c r="C70" s="60"/>
      <c r="D70" s="57"/>
      <c r="E70" s="54"/>
      <c r="F70" s="54"/>
      <c r="H70" s="57"/>
    </row>
    <row r="71" spans="1:8" s="58" customFormat="1" x14ac:dyDescent="0.25">
      <c r="A71" s="52"/>
      <c r="B71" s="53"/>
      <c r="C71" s="60"/>
      <c r="D71" s="57"/>
      <c r="E71" s="54"/>
      <c r="F71" s="54"/>
      <c r="H71" s="57"/>
    </row>
    <row r="72" spans="1:8" s="58" customFormat="1" x14ac:dyDescent="0.25">
      <c r="A72" s="52"/>
      <c r="B72" s="53"/>
      <c r="C72" s="60"/>
      <c r="D72" s="57"/>
      <c r="E72" s="54"/>
      <c r="F72" s="54"/>
      <c r="H72" s="57"/>
    </row>
    <row r="73" spans="1:8" s="58" customFormat="1" x14ac:dyDescent="0.25">
      <c r="A73" s="52"/>
      <c r="B73" s="53"/>
      <c r="C73" s="60"/>
      <c r="D73" s="57"/>
      <c r="E73" s="54"/>
      <c r="F73" s="54"/>
      <c r="H73" s="57"/>
    </row>
    <row r="74" spans="1:8" s="58" customFormat="1" x14ac:dyDescent="0.25">
      <c r="A74" s="52"/>
      <c r="B74" s="53"/>
      <c r="C74" s="60"/>
      <c r="D74" s="57"/>
      <c r="E74" s="54"/>
      <c r="F74" s="54"/>
      <c r="H74" s="57"/>
    </row>
    <row r="75" spans="1:8" s="58" customFormat="1" x14ac:dyDescent="0.25">
      <c r="A75" s="52"/>
      <c r="B75" s="53"/>
      <c r="C75" s="60"/>
      <c r="D75" s="57"/>
      <c r="E75" s="54"/>
      <c r="F75" s="54"/>
      <c r="H75" s="57"/>
    </row>
    <row r="76" spans="1:8" s="58" customFormat="1" x14ac:dyDescent="0.25">
      <c r="A76" s="52"/>
      <c r="B76" s="53"/>
      <c r="C76" s="60"/>
      <c r="D76" s="57"/>
      <c r="E76" s="54"/>
      <c r="F76" s="54"/>
      <c r="H76" s="57"/>
    </row>
    <row r="77" spans="1:8" s="58" customFormat="1" x14ac:dyDescent="0.25">
      <c r="A77" s="52"/>
      <c r="B77" s="53"/>
      <c r="C77" s="60"/>
      <c r="D77" s="57"/>
      <c r="E77" s="54"/>
      <c r="F77" s="54"/>
      <c r="H77" s="57"/>
    </row>
    <row r="78" spans="1:8" s="58" customFormat="1" x14ac:dyDescent="0.25">
      <c r="A78" s="52"/>
      <c r="B78" s="53"/>
      <c r="C78" s="60"/>
      <c r="D78" s="57"/>
      <c r="E78" s="54"/>
      <c r="F78" s="54"/>
      <c r="H78" s="57"/>
    </row>
    <row r="79" spans="1:8" s="58" customFormat="1" x14ac:dyDescent="0.25">
      <c r="A79" s="52"/>
      <c r="B79" s="53"/>
      <c r="C79" s="60"/>
      <c r="D79" s="57"/>
      <c r="E79" s="54"/>
      <c r="F79" s="54"/>
      <c r="H79" s="57"/>
    </row>
    <row r="80" spans="1:8" s="58" customFormat="1" x14ac:dyDescent="0.25">
      <c r="A80" s="52"/>
      <c r="B80" s="53"/>
      <c r="C80" s="60"/>
      <c r="D80" s="57"/>
      <c r="E80" s="54"/>
      <c r="F80" s="54"/>
      <c r="H80" s="57"/>
    </row>
    <row r="81" spans="1:8" s="58" customFormat="1" x14ac:dyDescent="0.25">
      <c r="A81" s="52"/>
      <c r="B81" s="53"/>
      <c r="C81" s="60"/>
      <c r="D81" s="57"/>
      <c r="E81" s="54"/>
      <c r="F81" s="54"/>
      <c r="H81" s="57"/>
    </row>
    <row r="82" spans="1:8" s="58" customFormat="1" x14ac:dyDescent="0.25">
      <c r="A82" s="52"/>
      <c r="B82" s="53"/>
      <c r="C82" s="60"/>
      <c r="D82" s="57"/>
      <c r="E82" s="54"/>
      <c r="F82" s="54"/>
      <c r="H82" s="57"/>
    </row>
    <row r="83" spans="1:8" s="58" customFormat="1" x14ac:dyDescent="0.25">
      <c r="A83" s="52"/>
      <c r="B83" s="53"/>
      <c r="C83" s="60"/>
      <c r="D83" s="57"/>
      <c r="E83" s="54"/>
      <c r="F83" s="54"/>
      <c r="H83" s="57"/>
    </row>
    <row r="84" spans="1:8" s="58" customFormat="1" x14ac:dyDescent="0.25">
      <c r="A84" s="52"/>
      <c r="B84" s="53"/>
      <c r="C84" s="60"/>
      <c r="D84" s="57"/>
      <c r="E84" s="54"/>
      <c r="F84" s="54"/>
      <c r="H84" s="57"/>
    </row>
    <row r="85" spans="1:8" s="58" customFormat="1" x14ac:dyDescent="0.25">
      <c r="A85" s="52"/>
      <c r="B85" s="53"/>
      <c r="C85" s="60"/>
      <c r="D85" s="57"/>
      <c r="E85" s="54"/>
      <c r="F85" s="54"/>
      <c r="H85" s="57"/>
    </row>
    <row r="86" spans="1:8" s="58" customFormat="1" x14ac:dyDescent="0.25">
      <c r="A86" s="52"/>
      <c r="B86" s="53"/>
      <c r="C86" s="60"/>
      <c r="D86" s="57"/>
      <c r="E86" s="54"/>
      <c r="F86" s="54"/>
      <c r="H86" s="57"/>
    </row>
    <row r="87" spans="1:8" s="58" customFormat="1" x14ac:dyDescent="0.25">
      <c r="A87" s="52"/>
      <c r="B87" s="53"/>
      <c r="C87" s="60"/>
      <c r="D87" s="57"/>
      <c r="E87" s="54"/>
      <c r="F87" s="54"/>
      <c r="H87" s="57"/>
    </row>
    <row r="88" spans="1:8" s="58" customFormat="1" x14ac:dyDescent="0.25">
      <c r="A88" s="52"/>
      <c r="B88" s="53"/>
      <c r="C88" s="60"/>
      <c r="D88" s="57"/>
      <c r="E88" s="54"/>
      <c r="F88" s="54"/>
      <c r="H88" s="57"/>
    </row>
    <row r="89" spans="1:8" s="58" customFormat="1" x14ac:dyDescent="0.25">
      <c r="A89" s="52"/>
      <c r="B89" s="53"/>
      <c r="C89" s="60"/>
      <c r="D89" s="57"/>
      <c r="E89" s="54"/>
      <c r="F89" s="54"/>
      <c r="H89" s="57"/>
    </row>
    <row r="90" spans="1:8" s="58" customFormat="1" x14ac:dyDescent="0.25">
      <c r="A90" s="52"/>
      <c r="B90" s="53"/>
      <c r="C90" s="60"/>
      <c r="D90" s="57"/>
      <c r="E90" s="54"/>
      <c r="F90" s="54"/>
      <c r="H90" s="57"/>
    </row>
    <row r="91" spans="1:8" s="58" customFormat="1" x14ac:dyDescent="0.25">
      <c r="A91" s="52"/>
      <c r="B91" s="53"/>
      <c r="C91" s="60"/>
      <c r="D91" s="57"/>
      <c r="E91" s="54"/>
      <c r="F91" s="54"/>
      <c r="H91" s="57"/>
    </row>
    <row r="92" spans="1:8" s="58" customFormat="1" x14ac:dyDescent="0.25">
      <c r="A92" s="52"/>
      <c r="B92" s="53"/>
      <c r="C92" s="60"/>
      <c r="D92" s="57"/>
      <c r="E92" s="54"/>
      <c r="F92" s="54"/>
      <c r="H92" s="57"/>
    </row>
    <row r="93" spans="1:8" s="58" customFormat="1" x14ac:dyDescent="0.25">
      <c r="A93" s="52"/>
      <c r="B93" s="53"/>
      <c r="C93" s="60"/>
      <c r="D93" s="57"/>
      <c r="E93" s="54"/>
      <c r="F93" s="54"/>
      <c r="H93" s="57"/>
    </row>
    <row r="94" spans="1:8" s="58" customFormat="1" x14ac:dyDescent="0.25">
      <c r="A94" s="52"/>
      <c r="B94" s="53"/>
      <c r="C94" s="60"/>
      <c r="D94" s="57"/>
      <c r="E94" s="54"/>
      <c r="F94" s="54"/>
      <c r="H94" s="57"/>
    </row>
    <row r="95" spans="1:8" s="58" customFormat="1" x14ac:dyDescent="0.25">
      <c r="A95" s="52"/>
      <c r="B95" s="53"/>
      <c r="C95" s="60"/>
      <c r="D95" s="57"/>
      <c r="E95" s="54"/>
      <c r="F95" s="54"/>
      <c r="H95" s="57"/>
    </row>
    <row r="96" spans="1:8" s="58" customFormat="1" x14ac:dyDescent="0.25">
      <c r="A96" s="52"/>
      <c r="B96" s="53"/>
      <c r="C96" s="60"/>
      <c r="D96" s="57"/>
      <c r="E96" s="54"/>
      <c r="F96" s="54"/>
      <c r="H96" s="57"/>
    </row>
    <row r="97" spans="1:8" s="58" customFormat="1" x14ac:dyDescent="0.25">
      <c r="A97" s="52"/>
      <c r="B97" s="53"/>
      <c r="C97" s="60"/>
      <c r="D97" s="57"/>
      <c r="E97" s="54"/>
      <c r="F97" s="54"/>
      <c r="H97" s="57"/>
    </row>
    <row r="98" spans="1:8" s="58" customFormat="1" x14ac:dyDescent="0.25">
      <c r="A98" s="52"/>
      <c r="B98" s="53"/>
      <c r="C98" s="60"/>
      <c r="D98" s="57"/>
      <c r="E98" s="54"/>
      <c r="F98" s="54"/>
      <c r="H98" s="57"/>
    </row>
    <row r="99" spans="1:8" s="58" customFormat="1" x14ac:dyDescent="0.25">
      <c r="A99" s="52"/>
      <c r="B99" s="53"/>
      <c r="C99" s="60"/>
      <c r="D99" s="57"/>
      <c r="E99" s="54"/>
      <c r="F99" s="54"/>
      <c r="H99" s="57"/>
    </row>
    <row r="100" spans="1:8" s="58" customFormat="1" x14ac:dyDescent="0.25">
      <c r="A100" s="52"/>
      <c r="B100" s="53"/>
      <c r="C100" s="60"/>
      <c r="D100" s="57"/>
      <c r="E100" s="54"/>
      <c r="F100" s="54"/>
      <c r="H100" s="57"/>
    </row>
    <row r="101" spans="1:8" s="58" customFormat="1" x14ac:dyDescent="0.25">
      <c r="A101" s="52"/>
      <c r="B101" s="53"/>
      <c r="C101" s="60"/>
      <c r="D101" s="57"/>
      <c r="E101" s="54"/>
      <c r="F101" s="54"/>
      <c r="H101" s="57"/>
    </row>
    <row r="102" spans="1:8" s="58" customFormat="1" x14ac:dyDescent="0.25">
      <c r="A102" s="52"/>
      <c r="B102" s="53"/>
      <c r="C102" s="60"/>
      <c r="D102" s="57"/>
      <c r="E102" s="54"/>
      <c r="F102" s="54"/>
      <c r="H102" s="57"/>
    </row>
    <row r="103" spans="1:8" s="58" customFormat="1" x14ac:dyDescent="0.25">
      <c r="A103" s="52"/>
      <c r="B103" s="53"/>
      <c r="C103" s="60"/>
      <c r="D103" s="57"/>
      <c r="E103" s="54"/>
      <c r="F103" s="54"/>
      <c r="H103" s="57"/>
    </row>
    <row r="104" spans="1:8" s="58" customFormat="1" x14ac:dyDescent="0.25">
      <c r="A104" s="52"/>
      <c r="B104" s="53"/>
      <c r="C104" s="60"/>
      <c r="D104" s="57"/>
      <c r="E104" s="54"/>
      <c r="F104" s="54"/>
      <c r="H104" s="57"/>
    </row>
    <row r="105" spans="1:8" s="58" customFormat="1" x14ac:dyDescent="0.25">
      <c r="A105" s="52"/>
      <c r="B105" s="53"/>
      <c r="C105" s="60"/>
      <c r="D105" s="57"/>
      <c r="E105" s="54"/>
      <c r="F105" s="54"/>
      <c r="H105" s="57"/>
    </row>
    <row r="106" spans="1:8" s="58" customFormat="1" x14ac:dyDescent="0.25">
      <c r="A106" s="52"/>
      <c r="B106" s="53"/>
      <c r="C106" s="60"/>
      <c r="D106" s="57"/>
      <c r="E106" s="54"/>
      <c r="F106" s="54"/>
      <c r="H106" s="57"/>
    </row>
    <row r="107" spans="1:8" s="58" customFormat="1" x14ac:dyDescent="0.25">
      <c r="A107" s="52"/>
      <c r="B107" s="53"/>
      <c r="C107" s="60"/>
      <c r="D107" s="57"/>
      <c r="E107" s="54"/>
      <c r="F107" s="54"/>
      <c r="H107" s="57"/>
    </row>
    <row r="108" spans="1:8" s="58" customFormat="1" x14ac:dyDescent="0.25">
      <c r="A108" s="52"/>
      <c r="B108" s="53"/>
      <c r="C108" s="60"/>
      <c r="D108" s="57"/>
      <c r="E108" s="54"/>
      <c r="F108" s="54"/>
      <c r="H108" s="57"/>
    </row>
    <row r="109" spans="1:8" s="58" customFormat="1" x14ac:dyDescent="0.25">
      <c r="A109" s="52"/>
      <c r="B109" s="53"/>
      <c r="C109" s="60"/>
      <c r="D109" s="57"/>
      <c r="E109" s="54"/>
      <c r="F109" s="54"/>
      <c r="H109" s="57"/>
    </row>
    <row r="110" spans="1:8" s="58" customFormat="1" x14ac:dyDescent="0.25">
      <c r="A110" s="52"/>
      <c r="B110" s="53"/>
      <c r="C110" s="60"/>
      <c r="D110" s="57"/>
      <c r="E110" s="54"/>
      <c r="F110" s="54"/>
      <c r="H110" s="57"/>
    </row>
    <row r="111" spans="1:8" s="58" customFormat="1" x14ac:dyDescent="0.25">
      <c r="A111" s="52"/>
      <c r="B111" s="53"/>
      <c r="C111" s="60"/>
      <c r="D111" s="57"/>
      <c r="E111" s="54"/>
      <c r="F111" s="54"/>
      <c r="H111" s="57"/>
    </row>
    <row r="112" spans="1:8" s="58" customFormat="1" x14ac:dyDescent="0.25">
      <c r="A112" s="52"/>
      <c r="B112" s="53"/>
      <c r="C112" s="60"/>
      <c r="D112" s="57"/>
      <c r="E112" s="54"/>
      <c r="F112" s="54"/>
      <c r="H112" s="57"/>
    </row>
    <row r="113" spans="1:8" s="58" customFormat="1" x14ac:dyDescent="0.25">
      <c r="A113" s="52"/>
      <c r="B113" s="53"/>
      <c r="C113" s="60"/>
      <c r="D113" s="57"/>
      <c r="E113" s="54"/>
      <c r="F113" s="54"/>
      <c r="H113" s="57"/>
    </row>
    <row r="114" spans="1:8" s="58" customFormat="1" x14ac:dyDescent="0.25">
      <c r="A114" s="52"/>
      <c r="B114" s="53"/>
      <c r="C114" s="60"/>
      <c r="D114" s="57"/>
      <c r="E114" s="54"/>
      <c r="F114" s="54"/>
      <c r="H114" s="57"/>
    </row>
    <row r="115" spans="1:8" s="58" customFormat="1" x14ac:dyDescent="0.25">
      <c r="A115" s="52"/>
      <c r="B115" s="53"/>
      <c r="C115" s="60"/>
      <c r="D115" s="57"/>
      <c r="E115" s="54"/>
      <c r="F115" s="54"/>
      <c r="H115" s="57"/>
    </row>
    <row r="116" spans="1:8" s="58" customFormat="1" x14ac:dyDescent="0.25">
      <c r="A116" s="52"/>
      <c r="B116" s="53"/>
      <c r="C116" s="60"/>
      <c r="D116" s="57"/>
      <c r="E116" s="54"/>
      <c r="F116" s="54"/>
      <c r="H116" s="57"/>
    </row>
    <row r="117" spans="1:8" s="58" customFormat="1" x14ac:dyDescent="0.25">
      <c r="A117" s="52"/>
      <c r="B117" s="53"/>
      <c r="C117" s="60"/>
      <c r="D117" s="57"/>
      <c r="E117" s="54"/>
      <c r="F117" s="54"/>
      <c r="H117" s="57"/>
    </row>
    <row r="118" spans="1:8" s="58" customFormat="1" x14ac:dyDescent="0.25">
      <c r="A118" s="52"/>
      <c r="B118" s="53"/>
      <c r="C118" s="60"/>
      <c r="D118" s="57"/>
      <c r="E118" s="54"/>
      <c r="F118" s="54"/>
      <c r="H118" s="57"/>
    </row>
    <row r="119" spans="1:8" s="58" customFormat="1" x14ac:dyDescent="0.25">
      <c r="A119" s="52"/>
      <c r="B119" s="53"/>
      <c r="C119" s="60"/>
      <c r="D119" s="57"/>
      <c r="E119" s="54"/>
      <c r="F119" s="54"/>
      <c r="H119" s="57"/>
    </row>
    <row r="120" spans="1:8" s="58" customFormat="1" x14ac:dyDescent="0.25">
      <c r="A120" s="52"/>
      <c r="B120" s="53"/>
      <c r="C120" s="60"/>
      <c r="D120" s="57"/>
      <c r="E120" s="54"/>
      <c r="F120" s="54"/>
      <c r="H120" s="57"/>
    </row>
    <row r="121" spans="1:8" s="58" customFormat="1" x14ac:dyDescent="0.25">
      <c r="A121" s="52"/>
      <c r="B121" s="53"/>
      <c r="C121" s="60"/>
      <c r="D121" s="57"/>
      <c r="E121" s="54"/>
      <c r="F121" s="54"/>
      <c r="H121" s="57"/>
    </row>
    <row r="122" spans="1:8" s="58" customFormat="1" x14ac:dyDescent="0.25">
      <c r="A122" s="52"/>
      <c r="B122" s="53"/>
      <c r="C122" s="60"/>
      <c r="D122" s="57"/>
      <c r="E122" s="54"/>
      <c r="F122" s="54"/>
      <c r="H122" s="57"/>
    </row>
    <row r="123" spans="1:8" s="58" customFormat="1" x14ac:dyDescent="0.25">
      <c r="A123" s="52"/>
      <c r="B123" s="53"/>
      <c r="C123" s="60"/>
      <c r="D123" s="57"/>
      <c r="E123" s="54"/>
      <c r="F123" s="54"/>
      <c r="H123" s="57"/>
    </row>
    <row r="124" spans="1:8" s="58" customFormat="1" x14ac:dyDescent="0.25">
      <c r="A124" s="52"/>
      <c r="B124" s="53"/>
      <c r="C124" s="60"/>
      <c r="D124" s="57"/>
      <c r="E124" s="54"/>
      <c r="F124" s="54"/>
      <c r="H124" s="57"/>
    </row>
    <row r="125" spans="1:8" s="58" customFormat="1" x14ac:dyDescent="0.25">
      <c r="A125" s="52"/>
      <c r="B125" s="53"/>
      <c r="C125" s="60"/>
      <c r="D125" s="57"/>
      <c r="E125" s="54"/>
      <c r="F125" s="54"/>
      <c r="H125" s="57"/>
    </row>
    <row r="126" spans="1:8" s="58" customFormat="1" x14ac:dyDescent="0.25">
      <c r="A126" s="52"/>
      <c r="B126" s="53"/>
      <c r="C126" s="60"/>
      <c r="D126" s="57"/>
      <c r="E126" s="54"/>
      <c r="F126" s="54"/>
      <c r="H126" s="57"/>
    </row>
    <row r="127" spans="1:8" s="58" customFormat="1" x14ac:dyDescent="0.25">
      <c r="A127" s="52"/>
      <c r="B127" s="53"/>
      <c r="C127" s="60"/>
      <c r="D127" s="57"/>
      <c r="E127" s="54"/>
      <c r="F127" s="54"/>
      <c r="H127" s="57"/>
    </row>
    <row r="128" spans="1:8" s="58" customFormat="1" x14ac:dyDescent="0.25">
      <c r="A128" s="52"/>
      <c r="B128" s="53"/>
      <c r="C128" s="60"/>
      <c r="D128" s="57"/>
      <c r="E128" s="54"/>
      <c r="F128" s="54"/>
      <c r="H128" s="57"/>
    </row>
    <row r="129" spans="1:8" s="58" customFormat="1" x14ac:dyDescent="0.25">
      <c r="A129" s="52"/>
      <c r="B129" s="53"/>
      <c r="C129" s="60"/>
      <c r="D129" s="57"/>
      <c r="E129" s="54"/>
      <c r="F129" s="54"/>
      <c r="H129" s="57"/>
    </row>
    <row r="130" spans="1:8" s="58" customFormat="1" x14ac:dyDescent="0.25">
      <c r="A130" s="52"/>
      <c r="B130" s="53"/>
      <c r="C130" s="60"/>
      <c r="D130" s="57"/>
      <c r="E130" s="54"/>
      <c r="F130" s="54"/>
      <c r="H130" s="57"/>
    </row>
    <row r="131" spans="1:8" s="58" customFormat="1" x14ac:dyDescent="0.25">
      <c r="A131" s="52"/>
      <c r="B131" s="53"/>
      <c r="C131" s="60"/>
      <c r="D131" s="57"/>
      <c r="E131" s="54"/>
      <c r="F131" s="54"/>
      <c r="H131" s="57"/>
    </row>
    <row r="132" spans="1:8" s="58" customFormat="1" x14ac:dyDescent="0.25">
      <c r="A132" s="52"/>
      <c r="B132" s="53"/>
      <c r="C132" s="60"/>
      <c r="D132" s="57"/>
      <c r="E132" s="54"/>
      <c r="F132" s="54"/>
      <c r="H132" s="57"/>
    </row>
    <row r="133" spans="1:8" s="58" customFormat="1" x14ac:dyDescent="0.25">
      <c r="A133" s="52"/>
      <c r="B133" s="53"/>
      <c r="C133" s="60"/>
      <c r="D133" s="57"/>
      <c r="E133" s="54"/>
      <c r="F133" s="54"/>
      <c r="H133" s="57"/>
    </row>
    <row r="134" spans="1:8" s="58" customFormat="1" x14ac:dyDescent="0.25">
      <c r="A134" s="52"/>
      <c r="B134" s="53"/>
      <c r="C134" s="60"/>
      <c r="D134" s="57"/>
      <c r="E134" s="54"/>
      <c r="F134" s="54"/>
      <c r="H134" s="57"/>
    </row>
    <row r="135" spans="1:8" s="58" customFormat="1" x14ac:dyDescent="0.25">
      <c r="A135" s="52"/>
      <c r="B135" s="53"/>
      <c r="C135" s="60"/>
      <c r="D135" s="57"/>
      <c r="E135" s="54"/>
      <c r="F135" s="54"/>
      <c r="H135" s="57"/>
    </row>
    <row r="136" spans="1:8" s="58" customFormat="1" x14ac:dyDescent="0.25">
      <c r="A136" s="52"/>
      <c r="B136" s="53"/>
      <c r="C136" s="60"/>
      <c r="D136" s="57"/>
      <c r="E136" s="54"/>
      <c r="F136" s="54"/>
      <c r="H136" s="57"/>
    </row>
    <row r="137" spans="1:8" s="58" customFormat="1" x14ac:dyDescent="0.25">
      <c r="A137" s="52"/>
      <c r="B137" s="53"/>
      <c r="C137" s="60"/>
      <c r="D137" s="57"/>
      <c r="E137" s="54"/>
      <c r="F137" s="54"/>
      <c r="H137" s="57"/>
    </row>
    <row r="138" spans="1:8" s="58" customFormat="1" x14ac:dyDescent="0.25">
      <c r="A138" s="52"/>
      <c r="B138" s="53"/>
      <c r="C138" s="60"/>
      <c r="D138" s="57"/>
      <c r="E138" s="54"/>
      <c r="F138" s="54"/>
      <c r="H138" s="57"/>
    </row>
    <row r="139" spans="1:8" s="58" customFormat="1" x14ac:dyDescent="0.25">
      <c r="A139" s="52"/>
      <c r="B139" s="53"/>
      <c r="C139" s="60"/>
      <c r="D139" s="57"/>
      <c r="E139" s="54"/>
      <c r="F139" s="54"/>
      <c r="H139" s="57"/>
    </row>
    <row r="140" spans="1:8" s="58" customFormat="1" x14ac:dyDescent="0.25">
      <c r="A140" s="52"/>
      <c r="B140" s="53"/>
      <c r="C140" s="60"/>
      <c r="D140" s="57"/>
      <c r="E140" s="54"/>
      <c r="F140" s="54"/>
      <c r="H140" s="57"/>
    </row>
    <row r="141" spans="1:8" s="58" customFormat="1" x14ac:dyDescent="0.25">
      <c r="A141" s="52"/>
      <c r="B141" s="53"/>
      <c r="C141" s="60"/>
      <c r="D141" s="57"/>
      <c r="E141" s="54"/>
      <c r="F141" s="54"/>
      <c r="H141" s="57"/>
    </row>
    <row r="142" spans="1:8" s="58" customFormat="1" x14ac:dyDescent="0.25">
      <c r="A142" s="52"/>
      <c r="B142" s="53"/>
      <c r="C142" s="60"/>
      <c r="D142" s="57"/>
      <c r="E142" s="54"/>
      <c r="F142" s="54"/>
      <c r="H142" s="57"/>
    </row>
    <row r="143" spans="1:8" s="58" customFormat="1" x14ac:dyDescent="0.25">
      <c r="A143" s="52"/>
      <c r="B143" s="53"/>
      <c r="C143" s="60"/>
      <c r="D143" s="57"/>
      <c r="E143" s="54"/>
      <c r="F143" s="54"/>
      <c r="H143" s="57"/>
    </row>
    <row r="144" spans="1:8" s="58" customFormat="1" x14ac:dyDescent="0.25">
      <c r="A144" s="52"/>
      <c r="B144" s="53"/>
      <c r="C144" s="60"/>
      <c r="D144" s="57"/>
      <c r="E144" s="54"/>
      <c r="F144" s="54"/>
      <c r="H144" s="57"/>
    </row>
    <row r="145" spans="1:8" s="58" customFormat="1" x14ac:dyDescent="0.25">
      <c r="A145" s="52"/>
      <c r="B145" s="53"/>
      <c r="C145" s="60"/>
      <c r="D145" s="57"/>
      <c r="E145" s="54"/>
      <c r="F145" s="54"/>
      <c r="H145" s="57"/>
    </row>
    <row r="146" spans="1:8" s="58" customFormat="1" x14ac:dyDescent="0.25">
      <c r="A146" s="52"/>
      <c r="B146" s="53"/>
      <c r="C146" s="60"/>
      <c r="D146" s="57"/>
      <c r="E146" s="54"/>
      <c r="F146" s="54"/>
      <c r="H146" s="57"/>
    </row>
    <row r="147" spans="1:8" s="58" customFormat="1" x14ac:dyDescent="0.25">
      <c r="A147" s="52"/>
      <c r="B147" s="53"/>
      <c r="C147" s="60"/>
      <c r="D147" s="57"/>
      <c r="E147" s="54"/>
      <c r="F147" s="54"/>
      <c r="H147" s="57"/>
    </row>
    <row r="148" spans="1:8" s="58" customFormat="1" x14ac:dyDescent="0.25">
      <c r="A148" s="52"/>
      <c r="B148" s="53"/>
      <c r="C148" s="60"/>
      <c r="D148" s="57"/>
      <c r="E148" s="54"/>
      <c r="F148" s="54"/>
      <c r="H148" s="57"/>
    </row>
    <row r="149" spans="1:8" s="58" customFormat="1" x14ac:dyDescent="0.25">
      <c r="A149" s="52"/>
      <c r="B149" s="53"/>
      <c r="C149" s="60"/>
      <c r="D149" s="57"/>
      <c r="E149" s="54"/>
      <c r="F149" s="54"/>
      <c r="H149" s="57"/>
    </row>
    <row r="150" spans="1:8" s="58" customFormat="1" x14ac:dyDescent="0.25">
      <c r="A150" s="52"/>
      <c r="B150" s="53"/>
      <c r="C150" s="60"/>
      <c r="D150" s="57"/>
      <c r="E150" s="54"/>
      <c r="F150" s="54"/>
      <c r="H150" s="57"/>
    </row>
    <row r="151" spans="1:8" s="58" customFormat="1" x14ac:dyDescent="0.25">
      <c r="A151" s="52"/>
      <c r="B151" s="53"/>
      <c r="C151" s="60"/>
      <c r="D151" s="57"/>
      <c r="E151" s="54"/>
      <c r="F151" s="54"/>
      <c r="H151" s="57"/>
    </row>
    <row r="152" spans="1:8" s="58" customFormat="1" x14ac:dyDescent="0.25">
      <c r="A152" s="52"/>
      <c r="B152" s="53"/>
      <c r="C152" s="60"/>
      <c r="D152" s="57"/>
      <c r="E152" s="54"/>
      <c r="F152" s="54"/>
      <c r="H152" s="57"/>
    </row>
    <row r="153" spans="1:8" s="58" customFormat="1" x14ac:dyDescent="0.25">
      <c r="A153" s="52"/>
      <c r="B153" s="53"/>
      <c r="C153" s="60"/>
      <c r="D153" s="57"/>
      <c r="E153" s="54"/>
      <c r="F153" s="54"/>
      <c r="H153" s="57"/>
    </row>
    <row r="154" spans="1:8" s="58" customFormat="1" x14ac:dyDescent="0.25">
      <c r="A154" s="52"/>
      <c r="B154" s="53"/>
      <c r="C154" s="60"/>
      <c r="D154" s="57"/>
      <c r="E154" s="54"/>
      <c r="F154" s="54"/>
      <c r="H154" s="57"/>
    </row>
    <row r="155" spans="1:8" s="58" customFormat="1" x14ac:dyDescent="0.25">
      <c r="A155" s="52"/>
      <c r="B155" s="53"/>
      <c r="C155" s="60"/>
      <c r="D155" s="57"/>
      <c r="E155" s="54"/>
      <c r="F155" s="54"/>
      <c r="H155" s="57"/>
    </row>
    <row r="156" spans="1:8" s="58" customFormat="1" x14ac:dyDescent="0.25">
      <c r="A156" s="52"/>
      <c r="B156" s="53"/>
      <c r="C156" s="60"/>
      <c r="D156" s="57"/>
      <c r="E156" s="54"/>
      <c r="F156" s="54"/>
      <c r="H156" s="57"/>
    </row>
    <row r="157" spans="1:8" s="58" customFormat="1" x14ac:dyDescent="0.25">
      <c r="A157" s="52"/>
      <c r="B157" s="53"/>
      <c r="C157" s="60"/>
      <c r="D157" s="57"/>
      <c r="E157" s="54"/>
      <c r="F157" s="54"/>
      <c r="H157" s="57"/>
    </row>
    <row r="158" spans="1:8" s="58" customFormat="1" x14ac:dyDescent="0.25">
      <c r="A158" s="52"/>
      <c r="B158" s="53"/>
      <c r="C158" s="60"/>
      <c r="D158" s="57"/>
      <c r="E158" s="54"/>
      <c r="F158" s="54"/>
      <c r="H158" s="57"/>
    </row>
    <row r="159" spans="1:8" s="58" customFormat="1" x14ac:dyDescent="0.25">
      <c r="A159" s="52"/>
      <c r="B159" s="53"/>
      <c r="C159" s="60"/>
      <c r="D159" s="57"/>
      <c r="E159" s="54"/>
      <c r="F159" s="54"/>
      <c r="H159" s="57"/>
    </row>
    <row r="160" spans="1:8" s="58" customFormat="1" x14ac:dyDescent="0.25">
      <c r="A160" s="52"/>
      <c r="B160" s="53"/>
      <c r="C160" s="60"/>
      <c r="D160" s="57"/>
      <c r="E160" s="54"/>
      <c r="F160" s="54"/>
      <c r="H160" s="57"/>
    </row>
    <row r="161" spans="1:8" s="58" customFormat="1" x14ac:dyDescent="0.25">
      <c r="A161" s="52"/>
      <c r="B161" s="53"/>
      <c r="C161" s="60"/>
      <c r="D161" s="57"/>
      <c r="E161" s="54"/>
      <c r="F161" s="54"/>
      <c r="H161" s="57"/>
    </row>
    <row r="162" spans="1:8" s="58" customFormat="1" x14ac:dyDescent="0.25">
      <c r="A162" s="52"/>
      <c r="B162" s="53"/>
      <c r="C162" s="60"/>
      <c r="D162" s="57"/>
      <c r="E162" s="54"/>
      <c r="F162" s="54"/>
      <c r="H162" s="57"/>
    </row>
    <row r="163" spans="1:8" s="58" customFormat="1" x14ac:dyDescent="0.25">
      <c r="A163" s="52"/>
      <c r="B163" s="53"/>
      <c r="C163" s="60"/>
      <c r="D163" s="57"/>
      <c r="E163" s="54"/>
      <c r="F163" s="54"/>
      <c r="H163" s="57"/>
    </row>
    <row r="164" spans="1:8" s="58" customFormat="1" x14ac:dyDescent="0.25">
      <c r="A164" s="52"/>
      <c r="B164" s="53"/>
      <c r="C164" s="60"/>
      <c r="D164" s="57"/>
      <c r="E164" s="54"/>
      <c r="F164" s="54"/>
      <c r="H164" s="57"/>
    </row>
    <row r="165" spans="1:8" s="58" customFormat="1" x14ac:dyDescent="0.25">
      <c r="A165" s="52"/>
      <c r="B165" s="53"/>
      <c r="C165" s="60"/>
      <c r="D165" s="57"/>
      <c r="E165" s="54"/>
      <c r="F165" s="54"/>
      <c r="H165" s="57"/>
    </row>
    <row r="166" spans="1:8" s="58" customFormat="1" x14ac:dyDescent="0.25">
      <c r="A166" s="52"/>
      <c r="B166" s="53"/>
      <c r="C166" s="60"/>
      <c r="D166" s="57"/>
      <c r="E166" s="54"/>
      <c r="F166" s="54"/>
      <c r="H166" s="57"/>
    </row>
    <row r="167" spans="1:8" s="58" customFormat="1" x14ac:dyDescent="0.25">
      <c r="A167" s="52"/>
      <c r="B167" s="53"/>
      <c r="C167" s="60"/>
      <c r="D167" s="57"/>
      <c r="E167" s="54"/>
      <c r="F167" s="54"/>
      <c r="H167" s="57"/>
    </row>
    <row r="168" spans="1:8" s="58" customFormat="1" x14ac:dyDescent="0.25">
      <c r="A168" s="52"/>
      <c r="B168" s="53"/>
      <c r="C168" s="60"/>
      <c r="D168" s="57"/>
      <c r="E168" s="54"/>
      <c r="F168" s="54"/>
      <c r="H168" s="57"/>
    </row>
    <row r="169" spans="1:8" s="58" customFormat="1" x14ac:dyDescent="0.25">
      <c r="A169" s="52"/>
      <c r="B169" s="53"/>
      <c r="C169" s="60"/>
      <c r="D169" s="57"/>
      <c r="E169" s="54"/>
      <c r="F169" s="54"/>
      <c r="H169" s="57"/>
    </row>
    <row r="170" spans="1:8" s="58" customFormat="1" x14ac:dyDescent="0.25">
      <c r="A170" s="52"/>
      <c r="B170" s="53"/>
      <c r="C170" s="60"/>
      <c r="D170" s="57"/>
      <c r="E170" s="54"/>
      <c r="F170" s="54"/>
      <c r="H170" s="57"/>
    </row>
    <row r="171" spans="1:8" s="58" customFormat="1" x14ac:dyDescent="0.25">
      <c r="A171" s="52"/>
      <c r="B171" s="53"/>
      <c r="C171" s="60"/>
      <c r="D171" s="57"/>
      <c r="E171" s="54"/>
      <c r="F171" s="54"/>
      <c r="H171" s="57"/>
    </row>
    <row r="172" spans="1:8" s="58" customFormat="1" x14ac:dyDescent="0.25">
      <c r="A172" s="52"/>
      <c r="B172" s="53"/>
      <c r="C172" s="60"/>
      <c r="D172" s="57"/>
      <c r="E172" s="54"/>
      <c r="F172" s="54"/>
      <c r="H172" s="57"/>
    </row>
    <row r="173" spans="1:8" s="58" customFormat="1" x14ac:dyDescent="0.25">
      <c r="A173" s="52"/>
      <c r="B173" s="53"/>
      <c r="C173" s="60"/>
      <c r="D173" s="57"/>
      <c r="E173" s="54"/>
      <c r="F173" s="54"/>
      <c r="H173" s="57"/>
    </row>
    <row r="174" spans="1:8" s="58" customFormat="1" x14ac:dyDescent="0.25">
      <c r="A174" s="52"/>
      <c r="B174" s="53"/>
      <c r="C174" s="60"/>
      <c r="D174" s="57"/>
      <c r="E174" s="54"/>
      <c r="F174" s="54"/>
      <c r="H174" s="57"/>
    </row>
    <row r="175" spans="1:8" s="58" customFormat="1" x14ac:dyDescent="0.25">
      <c r="A175" s="52"/>
      <c r="B175" s="53"/>
      <c r="C175" s="60"/>
      <c r="D175" s="57"/>
      <c r="E175" s="54"/>
      <c r="F175" s="54"/>
      <c r="H175" s="57"/>
    </row>
    <row r="176" spans="1:8" s="58" customFormat="1" x14ac:dyDescent="0.25">
      <c r="A176" s="52"/>
      <c r="B176" s="53"/>
      <c r="C176" s="60"/>
      <c r="D176" s="57"/>
      <c r="E176" s="54"/>
      <c r="F176" s="54"/>
      <c r="H176" s="57"/>
    </row>
    <row r="177" spans="1:8" s="58" customFormat="1" x14ac:dyDescent="0.25">
      <c r="A177" s="52"/>
      <c r="B177" s="53"/>
      <c r="C177" s="60"/>
      <c r="D177" s="57"/>
      <c r="E177" s="54"/>
      <c r="F177" s="54"/>
      <c r="H177" s="57"/>
    </row>
    <row r="178" spans="1:8" s="58" customFormat="1" x14ac:dyDescent="0.25">
      <c r="A178" s="52"/>
      <c r="B178" s="53"/>
      <c r="C178" s="60"/>
      <c r="D178" s="57"/>
      <c r="E178" s="54"/>
      <c r="F178" s="54"/>
      <c r="H178" s="57"/>
    </row>
    <row r="179" spans="1:8" s="58" customFormat="1" x14ac:dyDescent="0.25">
      <c r="A179" s="52"/>
      <c r="B179" s="53"/>
      <c r="C179" s="60"/>
      <c r="D179" s="57"/>
      <c r="E179" s="54"/>
      <c r="F179" s="54"/>
      <c r="H179" s="57"/>
    </row>
    <row r="180" spans="1:8" s="58" customFormat="1" x14ac:dyDescent="0.25">
      <c r="A180" s="52"/>
      <c r="B180" s="53"/>
      <c r="C180" s="60"/>
      <c r="D180" s="57"/>
      <c r="E180" s="54"/>
      <c r="F180" s="54"/>
      <c r="H180" s="57"/>
    </row>
    <row r="181" spans="1:8" s="58" customFormat="1" x14ac:dyDescent="0.25">
      <c r="A181" s="52"/>
      <c r="B181" s="53"/>
      <c r="C181" s="60"/>
      <c r="D181" s="57"/>
      <c r="E181" s="54"/>
      <c r="F181" s="54"/>
      <c r="H181" s="57"/>
    </row>
    <row r="182" spans="1:8" s="58" customFormat="1" x14ac:dyDescent="0.25">
      <c r="A182" s="52"/>
      <c r="B182" s="53"/>
      <c r="C182" s="60"/>
      <c r="D182" s="57"/>
      <c r="E182" s="54"/>
      <c r="F182" s="54"/>
      <c r="H182" s="57"/>
    </row>
    <row r="183" spans="1:8" s="58" customFormat="1" x14ac:dyDescent="0.25">
      <c r="A183" s="52"/>
      <c r="B183" s="53"/>
      <c r="C183" s="60"/>
      <c r="D183" s="57"/>
      <c r="E183" s="54"/>
      <c r="F183" s="54"/>
      <c r="H183" s="57"/>
    </row>
    <row r="184" spans="1:8" s="58" customFormat="1" x14ac:dyDescent="0.25">
      <c r="A184" s="52"/>
      <c r="B184" s="53"/>
      <c r="C184" s="60"/>
      <c r="D184" s="57"/>
      <c r="E184" s="54"/>
      <c r="F184" s="54"/>
      <c r="H184" s="57"/>
    </row>
    <row r="185" spans="1:8" s="58" customFormat="1" x14ac:dyDescent="0.25">
      <c r="A185" s="52"/>
      <c r="B185" s="53"/>
      <c r="C185" s="60"/>
      <c r="D185" s="57"/>
      <c r="E185" s="54"/>
      <c r="F185" s="54"/>
      <c r="H185" s="57"/>
    </row>
    <row r="186" spans="1:8" s="58" customFormat="1" x14ac:dyDescent="0.25">
      <c r="A186" s="52"/>
      <c r="B186" s="53"/>
      <c r="C186" s="60"/>
      <c r="D186" s="57"/>
      <c r="E186" s="54"/>
      <c r="F186" s="54"/>
      <c r="H186" s="57"/>
    </row>
    <row r="187" spans="1:8" s="58" customFormat="1" x14ac:dyDescent="0.25">
      <c r="A187" s="52"/>
      <c r="B187" s="53"/>
      <c r="C187" s="60"/>
      <c r="D187" s="57"/>
      <c r="E187" s="54"/>
      <c r="F187" s="54"/>
      <c r="H187" s="57"/>
    </row>
    <row r="188" spans="1:8" s="58" customFormat="1" x14ac:dyDescent="0.25">
      <c r="A188" s="52"/>
      <c r="B188" s="53"/>
      <c r="C188" s="60"/>
      <c r="D188" s="57"/>
      <c r="E188" s="54"/>
      <c r="F188" s="54"/>
      <c r="H188" s="57"/>
    </row>
    <row r="189" spans="1:8" s="58" customFormat="1" x14ac:dyDescent="0.25">
      <c r="A189" s="52"/>
      <c r="B189" s="53"/>
      <c r="C189" s="60"/>
      <c r="D189" s="57"/>
      <c r="E189" s="54"/>
      <c r="F189" s="54"/>
      <c r="H189" s="57"/>
    </row>
    <row r="190" spans="1:8" s="58" customFormat="1" x14ac:dyDescent="0.25">
      <c r="A190" s="52"/>
      <c r="B190" s="53"/>
      <c r="C190" s="60"/>
      <c r="D190" s="57"/>
      <c r="E190" s="54"/>
      <c r="F190" s="54"/>
      <c r="H190" s="57"/>
    </row>
    <row r="191" spans="1:8" s="58" customFormat="1" x14ac:dyDescent="0.25">
      <c r="A191" s="52"/>
      <c r="B191" s="53"/>
      <c r="C191" s="60"/>
      <c r="D191" s="57"/>
      <c r="E191" s="54"/>
      <c r="F191" s="54"/>
      <c r="H191" s="57"/>
    </row>
    <row r="192" spans="1:8" s="58" customFormat="1" x14ac:dyDescent="0.25">
      <c r="A192" s="52"/>
      <c r="B192" s="53"/>
      <c r="C192" s="60"/>
      <c r="D192" s="57"/>
      <c r="E192" s="54"/>
      <c r="F192" s="54"/>
      <c r="H192" s="57"/>
    </row>
    <row r="193" spans="1:8" s="58" customFormat="1" x14ac:dyDescent="0.25">
      <c r="A193" s="52"/>
      <c r="B193" s="53"/>
      <c r="C193" s="60"/>
      <c r="D193" s="57"/>
      <c r="E193" s="54"/>
      <c r="F193" s="54"/>
      <c r="H193" s="57"/>
    </row>
    <row r="194" spans="1:8" s="58" customFormat="1" x14ac:dyDescent="0.25">
      <c r="A194" s="52"/>
      <c r="B194" s="53"/>
      <c r="C194" s="60"/>
      <c r="D194" s="57"/>
      <c r="E194" s="54"/>
      <c r="F194" s="54"/>
      <c r="H194" s="57"/>
    </row>
    <row r="195" spans="1:8" s="58" customFormat="1" x14ac:dyDescent="0.25">
      <c r="A195" s="52"/>
      <c r="B195" s="53"/>
      <c r="C195" s="60"/>
      <c r="D195" s="57"/>
      <c r="E195" s="54"/>
      <c r="F195" s="54"/>
      <c r="H195" s="57"/>
    </row>
    <row r="196" spans="1:8" s="58" customFormat="1" x14ac:dyDescent="0.25">
      <c r="A196" s="52"/>
      <c r="B196" s="53"/>
      <c r="C196" s="60"/>
      <c r="D196" s="57"/>
      <c r="E196" s="54"/>
      <c r="F196" s="54"/>
      <c r="H196" s="57"/>
    </row>
    <row r="197" spans="1:8" s="58" customFormat="1" x14ac:dyDescent="0.25">
      <c r="A197" s="52"/>
      <c r="B197" s="53"/>
      <c r="C197" s="60"/>
      <c r="D197" s="57"/>
      <c r="E197" s="54"/>
      <c r="F197" s="54"/>
      <c r="H197" s="57"/>
    </row>
    <row r="198" spans="1:8" s="58" customFormat="1" x14ac:dyDescent="0.25">
      <c r="A198" s="52"/>
      <c r="B198" s="53"/>
      <c r="C198" s="60"/>
      <c r="D198" s="57"/>
      <c r="E198" s="54"/>
      <c r="F198" s="54"/>
      <c r="H198" s="57"/>
    </row>
    <row r="199" spans="1:8" s="58" customFormat="1" x14ac:dyDescent="0.25">
      <c r="A199" s="52"/>
      <c r="B199" s="53"/>
      <c r="C199" s="60"/>
      <c r="D199" s="57"/>
      <c r="E199" s="54"/>
      <c r="F199" s="54"/>
      <c r="H199" s="57"/>
    </row>
    <row r="200" spans="1:8" s="58" customFormat="1" x14ac:dyDescent="0.25">
      <c r="A200" s="52"/>
      <c r="B200" s="53"/>
      <c r="C200" s="60"/>
      <c r="D200" s="57"/>
      <c r="E200" s="54"/>
      <c r="F200" s="54"/>
      <c r="H200" s="57"/>
    </row>
    <row r="201" spans="1:8" s="58" customFormat="1" x14ac:dyDescent="0.25">
      <c r="A201" s="52"/>
      <c r="B201" s="53"/>
      <c r="C201" s="60"/>
      <c r="D201" s="57"/>
      <c r="E201" s="54"/>
      <c r="F201" s="54"/>
      <c r="H201" s="57"/>
    </row>
    <row r="202" spans="1:8" s="58" customFormat="1" x14ac:dyDescent="0.25">
      <c r="A202" s="52"/>
      <c r="B202" s="53"/>
      <c r="C202" s="60"/>
      <c r="D202" s="57"/>
      <c r="E202" s="54"/>
      <c r="F202" s="54"/>
      <c r="H202" s="57"/>
    </row>
    <row r="203" spans="1:8" s="58" customFormat="1" x14ac:dyDescent="0.25">
      <c r="A203" s="52"/>
      <c r="B203" s="53"/>
      <c r="C203" s="60"/>
      <c r="D203" s="57"/>
      <c r="E203" s="54"/>
      <c r="F203" s="54"/>
      <c r="H203" s="57"/>
    </row>
    <row r="204" spans="1:8" s="58" customFormat="1" x14ac:dyDescent="0.25">
      <c r="A204" s="52"/>
      <c r="B204" s="53"/>
      <c r="C204" s="60"/>
      <c r="D204" s="57"/>
      <c r="E204" s="54"/>
      <c r="F204" s="54"/>
      <c r="H204" s="57"/>
    </row>
    <row r="205" spans="1:8" s="58" customFormat="1" x14ac:dyDescent="0.25">
      <c r="A205" s="52"/>
      <c r="B205" s="53"/>
      <c r="C205" s="60"/>
      <c r="D205" s="57"/>
      <c r="E205" s="54"/>
      <c r="F205" s="54"/>
      <c r="H205" s="57"/>
    </row>
    <row r="206" spans="1:8" s="58" customFormat="1" x14ac:dyDescent="0.25">
      <c r="A206" s="52"/>
      <c r="B206" s="53"/>
      <c r="C206" s="60"/>
      <c r="D206" s="57"/>
      <c r="E206" s="54"/>
      <c r="F206" s="54"/>
      <c r="H206" s="57"/>
    </row>
    <row r="207" spans="1:8" s="58" customFormat="1" x14ac:dyDescent="0.25">
      <c r="A207" s="52"/>
      <c r="B207" s="53"/>
      <c r="C207" s="60"/>
      <c r="D207" s="57"/>
      <c r="E207" s="54"/>
      <c r="F207" s="54"/>
      <c r="H207" s="57"/>
    </row>
    <row r="208" spans="1:8" s="58" customFormat="1" x14ac:dyDescent="0.25">
      <c r="A208" s="52"/>
      <c r="B208" s="53"/>
      <c r="C208" s="60"/>
      <c r="D208" s="57"/>
      <c r="E208" s="54"/>
      <c r="F208" s="54"/>
      <c r="H208" s="57"/>
    </row>
    <row r="209" spans="1:8" s="58" customFormat="1" x14ac:dyDescent="0.25">
      <c r="A209" s="52"/>
      <c r="B209" s="53"/>
      <c r="C209" s="60"/>
      <c r="D209" s="57"/>
      <c r="E209" s="54"/>
      <c r="F209" s="54"/>
      <c r="H209" s="57"/>
    </row>
    <row r="210" spans="1:8" s="58" customFormat="1" x14ac:dyDescent="0.25">
      <c r="A210" s="52"/>
      <c r="B210" s="53"/>
      <c r="C210" s="60"/>
      <c r="D210" s="57"/>
      <c r="E210" s="54"/>
      <c r="F210" s="54"/>
      <c r="H210" s="57"/>
    </row>
    <row r="211" spans="1:8" s="58" customFormat="1" x14ac:dyDescent="0.25">
      <c r="A211" s="52"/>
      <c r="B211" s="53"/>
      <c r="C211" s="60"/>
      <c r="D211" s="57"/>
      <c r="E211" s="54"/>
      <c r="F211" s="54"/>
      <c r="H211" s="57"/>
    </row>
    <row r="212" spans="1:8" s="58" customFormat="1" x14ac:dyDescent="0.25">
      <c r="A212" s="52"/>
      <c r="B212" s="53"/>
      <c r="C212" s="60"/>
      <c r="D212" s="57"/>
      <c r="E212" s="54"/>
      <c r="F212" s="54"/>
      <c r="H212" s="57"/>
    </row>
    <row r="213" spans="1:8" s="58" customFormat="1" x14ac:dyDescent="0.25">
      <c r="A213" s="52"/>
      <c r="B213" s="53"/>
      <c r="C213" s="60"/>
      <c r="D213" s="57"/>
      <c r="E213" s="54"/>
      <c r="F213" s="54"/>
      <c r="H213" s="57"/>
    </row>
    <row r="214" spans="1:8" s="58" customFormat="1" x14ac:dyDescent="0.25">
      <c r="A214" s="52"/>
      <c r="B214" s="53"/>
      <c r="C214" s="60"/>
      <c r="D214" s="57"/>
      <c r="E214" s="54"/>
      <c r="F214" s="54"/>
      <c r="H214" s="57"/>
    </row>
    <row r="215" spans="1:8" s="58" customFormat="1" x14ac:dyDescent="0.25">
      <c r="A215" s="52"/>
      <c r="B215" s="53"/>
      <c r="C215" s="60"/>
      <c r="D215" s="57"/>
      <c r="E215" s="54"/>
      <c r="F215" s="54"/>
      <c r="H215" s="57"/>
    </row>
    <row r="216" spans="1:8" s="58" customFormat="1" x14ac:dyDescent="0.25">
      <c r="A216" s="52"/>
      <c r="B216" s="53"/>
      <c r="C216" s="60"/>
      <c r="D216" s="57"/>
      <c r="E216" s="54"/>
      <c r="F216" s="54"/>
      <c r="H216" s="57"/>
    </row>
    <row r="217" spans="1:8" s="58" customFormat="1" x14ac:dyDescent="0.25">
      <c r="A217" s="52"/>
      <c r="B217" s="53"/>
      <c r="C217" s="60"/>
      <c r="D217" s="57"/>
      <c r="E217" s="54"/>
      <c r="F217" s="54"/>
      <c r="H217" s="57"/>
    </row>
    <row r="218" spans="1:8" s="58" customFormat="1" x14ac:dyDescent="0.25">
      <c r="A218" s="52"/>
      <c r="B218" s="53"/>
      <c r="C218" s="60"/>
      <c r="D218" s="57"/>
      <c r="E218" s="54"/>
      <c r="F218" s="54"/>
      <c r="H218" s="57"/>
    </row>
    <row r="219" spans="1:8" s="58" customFormat="1" x14ac:dyDescent="0.25">
      <c r="A219" s="52"/>
      <c r="B219" s="53"/>
      <c r="C219" s="60"/>
      <c r="D219" s="57"/>
      <c r="E219" s="54"/>
      <c r="F219" s="54"/>
      <c r="H219" s="57"/>
    </row>
    <row r="220" spans="1:8" s="58" customFormat="1" x14ac:dyDescent="0.25">
      <c r="A220" s="52"/>
      <c r="B220" s="53"/>
      <c r="C220" s="60"/>
      <c r="D220" s="57"/>
      <c r="E220" s="54"/>
      <c r="F220" s="54"/>
      <c r="H220" s="57"/>
    </row>
    <row r="221" spans="1:8" s="58" customFormat="1" x14ac:dyDescent="0.25">
      <c r="A221" s="52"/>
      <c r="B221" s="53"/>
      <c r="C221" s="60"/>
      <c r="D221" s="57"/>
      <c r="E221" s="54"/>
      <c r="F221" s="54"/>
      <c r="H221" s="57"/>
    </row>
    <row r="222" spans="1:8" s="58" customFormat="1" x14ac:dyDescent="0.25">
      <c r="A222" s="52"/>
      <c r="B222" s="53"/>
      <c r="C222" s="60"/>
      <c r="D222" s="57"/>
      <c r="E222" s="54"/>
      <c r="F222" s="54"/>
      <c r="H222" s="57"/>
    </row>
    <row r="223" spans="1:8" s="58" customFormat="1" x14ac:dyDescent="0.25">
      <c r="A223" s="52"/>
      <c r="B223" s="53"/>
      <c r="C223" s="60"/>
      <c r="D223" s="57"/>
      <c r="E223" s="54"/>
      <c r="F223" s="54"/>
      <c r="H223" s="57"/>
    </row>
    <row r="224" spans="1:8" s="58" customFormat="1" x14ac:dyDescent="0.25">
      <c r="A224" s="52"/>
      <c r="B224" s="53"/>
      <c r="C224" s="60"/>
      <c r="D224" s="57"/>
      <c r="E224" s="54"/>
      <c r="F224" s="54"/>
      <c r="H224" s="57"/>
    </row>
    <row r="225" spans="1:8" s="58" customFormat="1" x14ac:dyDescent="0.25">
      <c r="A225" s="52"/>
      <c r="B225" s="53"/>
      <c r="C225" s="60"/>
      <c r="D225" s="57"/>
      <c r="E225" s="54"/>
      <c r="F225" s="54"/>
      <c r="H225" s="57"/>
    </row>
    <row r="226" spans="1:8" s="58" customFormat="1" x14ac:dyDescent="0.25">
      <c r="A226" s="52"/>
      <c r="B226" s="53"/>
      <c r="C226" s="60"/>
      <c r="D226" s="57"/>
      <c r="E226" s="54"/>
      <c r="F226" s="54"/>
      <c r="H226" s="57"/>
    </row>
    <row r="227" spans="1:8" s="58" customFormat="1" x14ac:dyDescent="0.25">
      <c r="A227" s="52"/>
      <c r="B227" s="53"/>
      <c r="C227" s="60"/>
      <c r="D227" s="57"/>
      <c r="E227" s="54"/>
      <c r="F227" s="54"/>
      <c r="H227" s="57"/>
    </row>
    <row r="228" spans="1:8" s="58" customFormat="1" x14ac:dyDescent="0.25">
      <c r="A228" s="52"/>
      <c r="B228" s="53"/>
      <c r="C228" s="60"/>
      <c r="D228" s="57"/>
      <c r="E228" s="54"/>
      <c r="F228" s="54"/>
      <c r="H228" s="57"/>
    </row>
    <row r="229" spans="1:8" s="58" customFormat="1" x14ac:dyDescent="0.25">
      <c r="A229" s="52"/>
      <c r="B229" s="53"/>
      <c r="C229" s="60"/>
      <c r="D229" s="57"/>
      <c r="E229" s="54"/>
      <c r="F229" s="54"/>
      <c r="H229" s="57"/>
    </row>
    <row r="230" spans="1:8" s="58" customFormat="1" x14ac:dyDescent="0.25">
      <c r="A230" s="52"/>
      <c r="B230" s="53"/>
      <c r="C230" s="60"/>
      <c r="D230" s="57"/>
      <c r="E230" s="54"/>
      <c r="F230" s="54"/>
      <c r="H230" s="57"/>
    </row>
    <row r="231" spans="1:8" s="58" customFormat="1" x14ac:dyDescent="0.25">
      <c r="A231" s="52"/>
      <c r="B231" s="53"/>
      <c r="C231" s="60"/>
      <c r="D231" s="57"/>
      <c r="E231" s="54"/>
      <c r="F231" s="54"/>
      <c r="H231" s="57"/>
    </row>
    <row r="232" spans="1:8" s="58" customFormat="1" x14ac:dyDescent="0.25">
      <c r="A232" s="52"/>
      <c r="B232" s="53"/>
      <c r="C232" s="60"/>
      <c r="D232" s="57"/>
      <c r="E232" s="54"/>
      <c r="F232" s="54"/>
      <c r="H232" s="57"/>
    </row>
    <row r="233" spans="1:8" s="58" customFormat="1" x14ac:dyDescent="0.25">
      <c r="A233" s="52"/>
      <c r="B233" s="53"/>
      <c r="C233" s="60"/>
      <c r="D233" s="57"/>
      <c r="E233" s="54"/>
      <c r="F233" s="54"/>
      <c r="H233" s="57"/>
    </row>
    <row r="234" spans="1:8" s="58" customFormat="1" x14ac:dyDescent="0.25">
      <c r="A234" s="52"/>
      <c r="B234" s="53"/>
      <c r="C234" s="60"/>
      <c r="D234" s="57"/>
      <c r="E234" s="54"/>
      <c r="F234" s="54"/>
      <c r="H234" s="57"/>
    </row>
    <row r="235" spans="1:8" s="58" customFormat="1" x14ac:dyDescent="0.25">
      <c r="A235" s="52"/>
      <c r="B235" s="53"/>
      <c r="C235" s="60"/>
      <c r="D235" s="57"/>
      <c r="E235" s="54"/>
      <c r="F235" s="54"/>
      <c r="H235" s="57"/>
    </row>
    <row r="236" spans="1:8" s="58" customFormat="1" x14ac:dyDescent="0.25">
      <c r="A236" s="52"/>
      <c r="B236" s="53"/>
      <c r="C236" s="60"/>
      <c r="D236" s="57"/>
      <c r="E236" s="54"/>
      <c r="F236" s="54"/>
      <c r="H236" s="57"/>
    </row>
    <row r="237" spans="1:8" s="58" customFormat="1" x14ac:dyDescent="0.25">
      <c r="A237" s="52"/>
      <c r="B237" s="53"/>
      <c r="C237" s="60"/>
      <c r="D237" s="57"/>
      <c r="E237" s="54"/>
      <c r="F237" s="54"/>
      <c r="H237" s="57"/>
    </row>
    <row r="238" spans="1:8" s="58" customFormat="1" x14ac:dyDescent="0.25">
      <c r="A238" s="52"/>
      <c r="B238" s="53"/>
      <c r="C238" s="60"/>
      <c r="D238" s="57"/>
      <c r="E238" s="54"/>
      <c r="F238" s="54"/>
      <c r="H238" s="57"/>
    </row>
    <row r="239" spans="1:8" s="58" customFormat="1" x14ac:dyDescent="0.25">
      <c r="A239" s="52"/>
      <c r="B239" s="53"/>
      <c r="C239" s="60"/>
      <c r="D239" s="57"/>
      <c r="E239" s="54"/>
      <c r="F239" s="54"/>
      <c r="H239" s="57"/>
    </row>
    <row r="240" spans="1:8" s="58" customFormat="1" x14ac:dyDescent="0.25">
      <c r="A240" s="52"/>
      <c r="B240" s="53"/>
      <c r="C240" s="60"/>
      <c r="D240" s="57"/>
      <c r="E240" s="54"/>
      <c r="F240" s="54"/>
      <c r="H240" s="57"/>
    </row>
    <row r="241" spans="1:8" s="58" customFormat="1" x14ac:dyDescent="0.25">
      <c r="A241" s="52"/>
      <c r="B241" s="53"/>
      <c r="C241" s="60"/>
      <c r="D241" s="57"/>
      <c r="E241" s="54"/>
      <c r="F241" s="54"/>
      <c r="H241" s="57"/>
    </row>
    <row r="242" spans="1:8" s="58" customFormat="1" x14ac:dyDescent="0.25">
      <c r="A242" s="52"/>
      <c r="B242" s="53"/>
      <c r="C242" s="60"/>
      <c r="D242" s="57"/>
      <c r="E242" s="54"/>
      <c r="F242" s="54"/>
      <c r="H242" s="57"/>
    </row>
    <row r="243" spans="1:8" s="58" customFormat="1" x14ac:dyDescent="0.25">
      <c r="A243" s="52"/>
      <c r="B243" s="53"/>
      <c r="C243" s="60"/>
      <c r="D243" s="57"/>
      <c r="E243" s="54"/>
      <c r="F243" s="54"/>
      <c r="H243" s="57"/>
    </row>
    <row r="244" spans="1:8" s="58" customFormat="1" x14ac:dyDescent="0.25">
      <c r="A244" s="52"/>
      <c r="B244" s="53"/>
      <c r="C244" s="60"/>
      <c r="D244" s="57"/>
      <c r="E244" s="54"/>
      <c r="F244" s="54"/>
      <c r="H244" s="57"/>
    </row>
    <row r="245" spans="1:8" s="58" customFormat="1" x14ac:dyDescent="0.25">
      <c r="A245" s="52"/>
      <c r="B245" s="53"/>
      <c r="C245" s="60"/>
      <c r="D245" s="57"/>
      <c r="E245" s="54"/>
      <c r="F245" s="54"/>
      <c r="H245" s="57"/>
    </row>
    <row r="246" spans="1:8" s="58" customFormat="1" x14ac:dyDescent="0.25">
      <c r="A246" s="52"/>
      <c r="B246" s="53"/>
      <c r="C246" s="60"/>
      <c r="D246" s="57"/>
      <c r="E246" s="54"/>
      <c r="F246" s="54"/>
      <c r="H246" s="57"/>
    </row>
    <row r="247" spans="1:8" s="58" customFormat="1" x14ac:dyDescent="0.25">
      <c r="A247" s="52"/>
      <c r="B247" s="53"/>
      <c r="C247" s="60"/>
      <c r="D247" s="57"/>
      <c r="E247" s="54"/>
      <c r="F247" s="54"/>
      <c r="H247" s="57"/>
    </row>
    <row r="248" spans="1:8" s="58" customFormat="1" x14ac:dyDescent="0.25">
      <c r="A248" s="52"/>
      <c r="B248" s="53"/>
      <c r="C248" s="60"/>
      <c r="D248" s="57"/>
      <c r="E248" s="54"/>
      <c r="F248" s="54"/>
      <c r="H248" s="57"/>
    </row>
    <row r="249" spans="1:8" s="58" customFormat="1" x14ac:dyDescent="0.25">
      <c r="A249" s="52"/>
      <c r="B249" s="53"/>
      <c r="C249" s="60"/>
      <c r="D249" s="57"/>
      <c r="E249" s="54"/>
      <c r="F249" s="54"/>
      <c r="H249" s="57"/>
    </row>
    <row r="250" spans="1:8" s="58" customFormat="1" x14ac:dyDescent="0.25">
      <c r="A250" s="52"/>
      <c r="B250" s="53"/>
      <c r="C250" s="60"/>
      <c r="D250" s="57"/>
      <c r="E250" s="54"/>
      <c r="F250" s="54"/>
      <c r="H250" s="57"/>
    </row>
    <row r="251" spans="1:8" s="58" customFormat="1" x14ac:dyDescent="0.25">
      <c r="A251" s="52"/>
      <c r="B251" s="53"/>
      <c r="C251" s="60"/>
      <c r="D251" s="57"/>
      <c r="E251" s="54"/>
      <c r="F251" s="54"/>
      <c r="H251" s="57"/>
    </row>
    <row r="252" spans="1:8" s="58" customFormat="1" x14ac:dyDescent="0.25">
      <c r="A252" s="52"/>
      <c r="B252" s="53"/>
      <c r="C252" s="60"/>
      <c r="D252" s="57"/>
      <c r="E252" s="54"/>
      <c r="F252" s="54"/>
      <c r="H252" s="57"/>
    </row>
    <row r="253" spans="1:8" s="58" customFormat="1" x14ac:dyDescent="0.25">
      <c r="A253" s="52"/>
      <c r="B253" s="53"/>
      <c r="C253" s="60"/>
      <c r="D253" s="57"/>
      <c r="E253" s="54"/>
      <c r="F253" s="54"/>
      <c r="H253" s="57"/>
    </row>
    <row r="254" spans="1:8" s="58" customFormat="1" x14ac:dyDescent="0.25">
      <c r="A254" s="52"/>
      <c r="B254" s="53"/>
      <c r="C254" s="60"/>
      <c r="D254" s="57"/>
      <c r="E254" s="54"/>
      <c r="F254" s="54"/>
      <c r="H254" s="57"/>
    </row>
    <row r="255" spans="1:8" s="58" customFormat="1" x14ac:dyDescent="0.25">
      <c r="A255" s="52"/>
      <c r="B255" s="53"/>
      <c r="C255" s="60"/>
      <c r="D255" s="57"/>
      <c r="E255" s="54"/>
      <c r="F255" s="54"/>
      <c r="H255" s="57"/>
    </row>
    <row r="256" spans="1:8" s="58" customFormat="1" x14ac:dyDescent="0.25">
      <c r="A256" s="52"/>
      <c r="B256" s="53"/>
      <c r="C256" s="60"/>
      <c r="D256" s="57"/>
      <c r="E256" s="54"/>
      <c r="F256" s="54"/>
      <c r="H256" s="57"/>
    </row>
    <row r="257" spans="1:11" s="58" customFormat="1" x14ac:dyDescent="0.25">
      <c r="A257" s="52"/>
      <c r="B257" s="53"/>
      <c r="C257" s="60"/>
      <c r="D257" s="57"/>
      <c r="E257" s="54"/>
      <c r="F257" s="54"/>
      <c r="H257" s="57"/>
    </row>
    <row r="258" spans="1:11" s="58" customFormat="1" x14ac:dyDescent="0.25">
      <c r="A258" s="52"/>
      <c r="B258" s="53"/>
      <c r="C258" s="60"/>
      <c r="D258" s="57"/>
      <c r="E258" s="54"/>
      <c r="F258" s="54"/>
      <c r="H258" s="57"/>
    </row>
    <row r="259" spans="1:11" s="58" customFormat="1" x14ac:dyDescent="0.25">
      <c r="A259" s="52"/>
      <c r="B259" s="53"/>
      <c r="C259" s="60"/>
      <c r="D259" s="57"/>
      <c r="E259" s="54"/>
      <c r="F259" s="54"/>
      <c r="H259" s="57"/>
    </row>
    <row r="260" spans="1:11" s="58" customFormat="1" x14ac:dyDescent="0.25">
      <c r="A260" s="52"/>
      <c r="B260" s="53"/>
      <c r="C260" s="60"/>
      <c r="D260" s="57"/>
      <c r="E260" s="54"/>
      <c r="F260" s="54"/>
      <c r="H260" s="57"/>
    </row>
    <row r="261" spans="1:11" s="58" customFormat="1" x14ac:dyDescent="0.25">
      <c r="A261" s="52"/>
      <c r="B261" s="53"/>
      <c r="C261" s="60"/>
      <c r="D261" s="57"/>
      <c r="E261" s="54"/>
      <c r="F261" s="54"/>
      <c r="H261" s="57"/>
    </row>
    <row r="262" spans="1:11" s="58" customFormat="1" x14ac:dyDescent="0.25">
      <c r="A262" s="52"/>
      <c r="B262" s="53"/>
      <c r="C262" s="60"/>
      <c r="D262" s="57"/>
      <c r="E262" s="54"/>
      <c r="F262" s="54"/>
      <c r="H262" s="57"/>
    </row>
    <row r="263" spans="1:11" s="58" customFormat="1" x14ac:dyDescent="0.25">
      <c r="A263" s="52"/>
      <c r="B263" s="53"/>
      <c r="C263" s="60"/>
      <c r="D263" s="57"/>
      <c r="E263" s="54"/>
      <c r="F263" s="54"/>
      <c r="H263" s="57"/>
    </row>
    <row r="264" spans="1:11" s="58" customFormat="1" x14ac:dyDescent="0.25">
      <c r="A264" s="52"/>
      <c r="B264" s="53"/>
      <c r="C264" s="60"/>
      <c r="D264" s="57"/>
      <c r="E264" s="54"/>
      <c r="F264" s="54"/>
      <c r="H264" s="57"/>
    </row>
    <row r="265" spans="1:11" s="58" customFormat="1" x14ac:dyDescent="0.25">
      <c r="A265" s="52"/>
      <c r="B265" s="53"/>
      <c r="C265" s="60"/>
      <c r="D265" s="57"/>
      <c r="E265" s="54"/>
      <c r="F265" s="54"/>
      <c r="H265" s="57"/>
      <c r="K265" s="37"/>
    </row>
    <row r="266" spans="1:11" x14ac:dyDescent="0.25">
      <c r="A266" s="52"/>
      <c r="D266" s="57"/>
      <c r="E266" s="54"/>
      <c r="F266" s="54"/>
      <c r="G266" s="58"/>
      <c r="I266" s="58"/>
      <c r="J266" s="58"/>
    </row>
    <row r="267" spans="1:11" x14ac:dyDescent="0.25">
      <c r="A267" s="52"/>
      <c r="D267" s="57"/>
      <c r="E267" s="54"/>
      <c r="F267" s="54"/>
      <c r="G267" s="58"/>
      <c r="I267" s="58"/>
      <c r="J267" s="58"/>
    </row>
    <row r="268" spans="1:11" x14ac:dyDescent="0.25">
      <c r="A268" s="52"/>
      <c r="D268" s="57"/>
      <c r="E268" s="54"/>
      <c r="F268" s="54"/>
      <c r="G268" s="58"/>
      <c r="I268" s="58"/>
      <c r="J268" s="58"/>
    </row>
    <row r="269" spans="1:11" x14ac:dyDescent="0.25">
      <c r="A269" s="52"/>
      <c r="D269" s="57"/>
      <c r="E269" s="54"/>
      <c r="F269" s="54"/>
      <c r="G269" s="58"/>
      <c r="I269" s="58"/>
      <c r="J269" s="58"/>
    </row>
    <row r="270" spans="1:11" x14ac:dyDescent="0.25">
      <c r="A270" s="52"/>
      <c r="D270" s="57"/>
      <c r="E270" s="54"/>
      <c r="F270" s="54"/>
      <c r="G270" s="58"/>
      <c r="I270" s="58"/>
      <c r="J270" s="58"/>
    </row>
    <row r="271" spans="1:11" x14ac:dyDescent="0.25">
      <c r="A271" s="52"/>
      <c r="D271" s="57"/>
      <c r="E271" s="54"/>
      <c r="F271" s="54"/>
      <c r="G271" s="58"/>
      <c r="I271" s="58"/>
      <c r="J271" s="58"/>
    </row>
    <row r="272" spans="1:11" x14ac:dyDescent="0.25">
      <c r="A272" s="52"/>
      <c r="D272" s="57"/>
      <c r="E272" s="54"/>
      <c r="F272" s="54"/>
      <c r="G272" s="58"/>
      <c r="I272" s="58"/>
      <c r="J272" s="58"/>
    </row>
    <row r="273" spans="1:10" x14ac:dyDescent="0.25">
      <c r="A273" s="52"/>
      <c r="D273" s="57"/>
      <c r="E273" s="54"/>
      <c r="F273" s="54"/>
      <c r="G273" s="58"/>
      <c r="I273" s="58"/>
      <c r="J273" s="58"/>
    </row>
    <row r="274" spans="1:10" x14ac:dyDescent="0.25">
      <c r="A274" s="52"/>
      <c r="D274" s="57"/>
      <c r="E274" s="54"/>
      <c r="F274" s="54"/>
      <c r="G274" s="58"/>
      <c r="I274" s="58"/>
      <c r="J274" s="58"/>
    </row>
    <row r="275" spans="1:10" x14ac:dyDescent="0.25">
      <c r="A275" s="52"/>
      <c r="D275" s="57"/>
      <c r="E275" s="54"/>
      <c r="F275" s="54"/>
      <c r="G275" s="58"/>
      <c r="I275" s="58"/>
      <c r="J275" s="58"/>
    </row>
    <row r="276" spans="1:10" x14ac:dyDescent="0.25">
      <c r="A276" s="52"/>
      <c r="D276" s="57"/>
      <c r="E276" s="54"/>
      <c r="F276" s="54"/>
      <c r="G276" s="58"/>
      <c r="I276" s="58"/>
      <c r="J276" s="58"/>
    </row>
    <row r="277" spans="1:10" x14ac:dyDescent="0.25">
      <c r="A277" s="52"/>
      <c r="D277" s="57"/>
      <c r="E277" s="54"/>
      <c r="F277" s="54"/>
      <c r="G277" s="58"/>
      <c r="I277" s="58"/>
      <c r="J277" s="58"/>
    </row>
    <row r="278" spans="1:10" x14ac:dyDescent="0.25">
      <c r="A278" s="52"/>
      <c r="D278" s="57"/>
      <c r="E278" s="54"/>
      <c r="F278" s="54"/>
      <c r="G278" s="58"/>
      <c r="I278" s="58"/>
      <c r="J278" s="58"/>
    </row>
    <row r="279" spans="1:10" x14ac:dyDescent="0.25">
      <c r="A279" s="52"/>
      <c r="D279" s="57"/>
      <c r="E279" s="54"/>
      <c r="F279" s="54"/>
      <c r="G279" s="58"/>
      <c r="I279" s="58"/>
      <c r="J279" s="58"/>
    </row>
  </sheetData>
  <mergeCells count="1">
    <mergeCell ref="C2:G2"/>
  </mergeCells>
  <conditionalFormatting sqref="A43:A1048576 A2:A41">
    <cfRule type="cellIs" dxfId="13" priority="73" operator="equal">
      <formula>$K$2</formula>
    </cfRule>
    <cfRule type="cellIs" dxfId="12" priority="74" operator="lessThan">
      <formula>$B$2</formula>
    </cfRule>
    <cfRule type="cellIs" dxfId="11" priority="75" operator="equal">
      <formula>$B$2</formula>
    </cfRule>
  </conditionalFormatting>
  <dataValidations count="4">
    <dataValidation type="list" allowBlank="1" showInputMessage="1" showErrorMessage="1" sqref="E4:E41">
      <formula1>Priorité</formula1>
    </dataValidation>
    <dataValidation type="list" allowBlank="1" showInputMessage="1" showErrorMessage="1" sqref="C4:C41">
      <formula1>SousCaté</formula1>
    </dataValidation>
    <dataValidation type="list" allowBlank="1" showInputMessage="1" showErrorMessage="1" sqref="I4:I41">
      <formula1>Statut</formula1>
    </dataValidation>
    <dataValidation type="list" allowBlank="1" showInputMessage="1" showErrorMessage="1" sqref="B4:B41">
      <formula1>Caté</formula1>
    </dataValidation>
  </dataValidations>
  <pageMargins left="0.7" right="0.7" top="0.75" bottom="0.75" header="0.3" footer="0.3"/>
  <pageSetup paperSize="9" scale="11" orientation="landscape" horizontalDpi="4294967293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I16"/>
  <sheetViews>
    <sheetView zoomScale="115" zoomScaleNormal="115" workbookViewId="0">
      <selection activeCell="E13" sqref="E13"/>
    </sheetView>
  </sheetViews>
  <sheetFormatPr baseColWidth="10" defaultRowHeight="15" x14ac:dyDescent="0.25"/>
  <cols>
    <col min="1" max="1" width="25.28515625" customWidth="1"/>
    <col min="2" max="2" width="4.28515625" customWidth="1"/>
    <col min="3" max="3" width="24.28515625" customWidth="1"/>
    <col min="4" max="4" width="2.28515625" customWidth="1"/>
    <col min="5" max="5" width="16.42578125" customWidth="1"/>
    <col min="6" max="6" width="2.28515625" customWidth="1"/>
    <col min="7" max="7" width="18.42578125" customWidth="1"/>
    <col min="8" max="8" width="2.28515625" customWidth="1"/>
  </cols>
  <sheetData>
    <row r="1" spans="1:9" s="18" customFormat="1" ht="18.75" x14ac:dyDescent="0.3">
      <c r="A1" s="14" t="s">
        <v>38</v>
      </c>
      <c r="B1" s="14"/>
      <c r="C1" s="35" t="s">
        <v>37</v>
      </c>
      <c r="E1" s="36" t="s">
        <v>5</v>
      </c>
      <c r="G1" s="36" t="s">
        <v>18</v>
      </c>
      <c r="I1" s="36" t="s">
        <v>40</v>
      </c>
    </row>
    <row r="2" spans="1:9" x14ac:dyDescent="0.25">
      <c r="A2" s="1" t="s">
        <v>39</v>
      </c>
      <c r="C2" s="1" t="s">
        <v>100</v>
      </c>
      <c r="E2" s="1" t="s">
        <v>43</v>
      </c>
      <c r="G2" s="1" t="s">
        <v>25</v>
      </c>
      <c r="I2" s="1">
        <v>100</v>
      </c>
    </row>
    <row r="3" spans="1:9" x14ac:dyDescent="0.25">
      <c r="A3" s="1" t="s">
        <v>82</v>
      </c>
      <c r="C3" s="1" t="s">
        <v>101</v>
      </c>
      <c r="E3" s="1" t="s">
        <v>21</v>
      </c>
      <c r="G3" s="1" t="s">
        <v>26</v>
      </c>
      <c r="I3" s="1">
        <v>95</v>
      </c>
    </row>
    <row r="4" spans="1:9" x14ac:dyDescent="0.25">
      <c r="A4" s="1" t="s">
        <v>83</v>
      </c>
      <c r="C4" s="1" t="s">
        <v>86</v>
      </c>
      <c r="E4" s="1" t="s">
        <v>44</v>
      </c>
      <c r="G4" s="1" t="s">
        <v>27</v>
      </c>
      <c r="I4" s="1">
        <v>90</v>
      </c>
    </row>
    <row r="5" spans="1:9" x14ac:dyDescent="0.25">
      <c r="A5" s="1"/>
      <c r="C5" s="1" t="s">
        <v>87</v>
      </c>
      <c r="E5" s="1" t="s">
        <v>84</v>
      </c>
      <c r="G5" s="1" t="s">
        <v>28</v>
      </c>
      <c r="I5" s="1">
        <v>85</v>
      </c>
    </row>
    <row r="6" spans="1:9" x14ac:dyDescent="0.25">
      <c r="A6" s="1"/>
      <c r="C6" s="1"/>
      <c r="E6" s="1" t="s">
        <v>99</v>
      </c>
      <c r="G6" s="1" t="s">
        <v>29</v>
      </c>
      <c r="I6" s="1">
        <v>80</v>
      </c>
    </row>
    <row r="7" spans="1:9" x14ac:dyDescent="0.25">
      <c r="A7" s="1"/>
      <c r="C7" s="1"/>
      <c r="G7" s="1" t="s">
        <v>30</v>
      </c>
      <c r="I7" s="1">
        <v>75</v>
      </c>
    </row>
    <row r="8" spans="1:9" x14ac:dyDescent="0.25">
      <c r="A8" s="1"/>
      <c r="C8" s="1"/>
      <c r="G8" s="1" t="s">
        <v>31</v>
      </c>
      <c r="I8" s="1">
        <v>70</v>
      </c>
    </row>
    <row r="9" spans="1:9" x14ac:dyDescent="0.25">
      <c r="A9" s="1"/>
      <c r="C9" s="1"/>
      <c r="G9" s="1" t="s">
        <v>34</v>
      </c>
      <c r="I9" s="1">
        <v>65</v>
      </c>
    </row>
    <row r="10" spans="1:9" x14ac:dyDescent="0.25">
      <c r="A10" s="1"/>
      <c r="C10" s="2"/>
      <c r="G10" s="1" t="s">
        <v>35</v>
      </c>
      <c r="I10" s="1">
        <v>60</v>
      </c>
    </row>
    <row r="11" spans="1:9" x14ac:dyDescent="0.25">
      <c r="A11" s="1"/>
      <c r="C11" s="1"/>
      <c r="I11" s="1">
        <v>55</v>
      </c>
    </row>
    <row r="12" spans="1:9" x14ac:dyDescent="0.25">
      <c r="A12" s="1"/>
      <c r="C12" s="17"/>
      <c r="I12" s="1">
        <v>50</v>
      </c>
    </row>
    <row r="13" spans="1:9" x14ac:dyDescent="0.25">
      <c r="A13" s="1"/>
      <c r="C13" s="1"/>
      <c r="I13" s="1">
        <v>40</v>
      </c>
    </row>
    <row r="14" spans="1:9" x14ac:dyDescent="0.25">
      <c r="A14" s="1"/>
      <c r="C14" s="17"/>
      <c r="I14" s="1">
        <v>30</v>
      </c>
    </row>
    <row r="15" spans="1:9" x14ac:dyDescent="0.25">
      <c r="A15" s="1"/>
      <c r="C15" s="1"/>
      <c r="I15" s="1">
        <v>20</v>
      </c>
    </row>
    <row r="16" spans="1:9" x14ac:dyDescent="0.25">
      <c r="A16" s="1"/>
      <c r="C16" s="1"/>
      <c r="I16" s="1">
        <v>10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2:M33"/>
  <sheetViews>
    <sheetView topLeftCell="A19" workbookViewId="0">
      <selection activeCell="H32" sqref="H32"/>
    </sheetView>
  </sheetViews>
  <sheetFormatPr baseColWidth="10" defaultRowHeight="15" x14ac:dyDescent="0.25"/>
  <sheetData>
    <row r="2" spans="1:13" x14ac:dyDescent="0.25">
      <c r="A2" t="s">
        <v>6</v>
      </c>
      <c r="B2" t="s">
        <v>22</v>
      </c>
      <c r="D2" t="s">
        <v>9</v>
      </c>
      <c r="E2" t="s">
        <v>23</v>
      </c>
      <c r="L2" t="s">
        <v>7</v>
      </c>
      <c r="M2" t="s">
        <v>8</v>
      </c>
    </row>
    <row r="33" spans="1:1" x14ac:dyDescent="0.25">
      <c r="A33" t="s">
        <v>46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10</vt:i4>
      </vt:variant>
    </vt:vector>
  </HeadingPairs>
  <TitlesOfParts>
    <vt:vector size="14" baseType="lpstr">
      <vt:lpstr>PROJET</vt:lpstr>
      <vt:lpstr>Backlog Produit</vt:lpstr>
      <vt:lpstr>Paramètres</vt:lpstr>
      <vt:lpstr>Board  Trello</vt:lpstr>
      <vt:lpstr>cat</vt:lpstr>
      <vt:lpstr>Caté</vt:lpstr>
      <vt:lpstr>etapes</vt:lpstr>
      <vt:lpstr>Priorité</vt:lpstr>
      <vt:lpstr>ressources</vt:lpstr>
      <vt:lpstr>selection</vt:lpstr>
      <vt:lpstr>SousCaté</vt:lpstr>
      <vt:lpstr>Statut</vt:lpstr>
      <vt:lpstr>toto</vt:lpstr>
      <vt:lpstr>'Backlog Produit'!Zone_d_impression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Stéphane</dc:creator>
  <cp:lastModifiedBy>gaetan adier</cp:lastModifiedBy>
  <cp:lastPrinted>2015-05-04T13:30:33Z</cp:lastPrinted>
  <dcterms:created xsi:type="dcterms:W3CDTF">2012-04-30T15:08:16Z</dcterms:created>
  <dcterms:modified xsi:type="dcterms:W3CDTF">2015-05-15T12:36:49Z</dcterms:modified>
</cp:coreProperties>
</file>