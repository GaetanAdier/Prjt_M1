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etan\Documents\GitHub\Prjt_M1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7" i="1" l="1"/>
  <c r="K47" i="1"/>
</calcChain>
</file>

<file path=xl/sharedStrings.xml><?xml version="1.0" encoding="utf-8"?>
<sst xmlns="http://schemas.openxmlformats.org/spreadsheetml/2006/main" count="277" uniqueCount="120">
  <si>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</si>
  <si>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</si>
  <si>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</si>
  <si>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</si>
  <si>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</si>
  <si>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</si>
  <si>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</si>
  <si>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</si>
  <si>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</si>
  <si>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</si>
  <si>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</si>
  <si>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</si>
  <si>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</si>
  <si>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</si>
  <si>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</si>
  <si>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</si>
  <si>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</si>
  <si>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</si>
  <si>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</si>
  <si>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</si>
  <si>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</si>
  <si>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</si>
  <si>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</si>
  <si>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</si>
  <si>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</si>
  <si>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</si>
  <si>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</si>
  <si>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</si>
  <si>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</si>
  <si>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</si>
  <si>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</si>
  <si>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</si>
  <si>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</si>
  <si>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</si>
  <si>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</si>
  <si>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</si>
  <si>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</si>
  <si>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</si>
  <si>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</si>
  <si>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</si>
  <si>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</si>
  <si>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</si>
  <si>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</si>
  <si>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</si>
  <si>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</si>
  <si>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</si>
  <si>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</si>
  <si>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</si>
  <si>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</si>
  <si>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</si>
  <si>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</si>
  <si>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</si>
  <si>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</si>
  <si>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</si>
  <si>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</si>
  <si>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</si>
  <si>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</si>
  <si>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</si>
  <si>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</si>
  <si>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</si>
  <si>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</si>
  <si>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</si>
  <si>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</si>
  <si>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</si>
  <si>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</si>
  <si>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</si>
  <si>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</si>
  <si>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</si>
  <si>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</si>
  <si>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</si>
  <si>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</si>
  <si>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</si>
  <si>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</si>
  <si>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</si>
  <si>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</si>
  <si>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</si>
  <si>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</si>
  <si>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</si>
  <si>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</si>
  <si>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</si>
  <si>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</si>
  <si>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</si>
  <si>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</si>
  <si>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</si>
  <si>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</si>
  <si>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</si>
  <si>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</si>
  <si>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</si>
  <si>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</si>
  <si>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</si>
  <si>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</si>
  <si>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</si>
  <si>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</si>
  <si>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</si>
  <si>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</si>
  <si>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</si>
  <si>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</si>
  <si>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</si>
  <si>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</si>
  <si>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</si>
  <si>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</si>
  <si>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</si>
  <si>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</si>
  <si>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</si>
  <si>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</si>
  <si>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</si>
  <si>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</si>
  <si>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</si>
  <si>
    <t>C2o - prise de renseignement</t>
  </si>
  <si>
    <t>Ibrahima</t>
  </si>
  <si>
    <t>Gaetan</t>
  </si>
  <si>
    <t>Etienne / Ibrahima</t>
  </si>
  <si>
    <t>ajout de nouvelle tache (Bag of words)</t>
  </si>
  <si>
    <t>Suite à la présentation, le résultat ne sont pas probant…</t>
  </si>
  <si>
    <t>Bag of words - codage</t>
  </si>
  <si>
    <t>Présent sprint 2</t>
  </si>
  <si>
    <t>Etienne</t>
  </si>
  <si>
    <t>Redaction working paper CLEF</t>
  </si>
  <si>
    <t>Analyse des résultats</t>
  </si>
  <si>
    <t>Procedure de 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</si>
</sst>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7" totalsRowCount="1" headerRowDxfId="28" dataDxfId="26" headerRowBorderDxfId="27" tableBorderDxfId="25">
  <autoFilter ref="A3:K46">
    <filterColumn colId="0">
      <filters>
        <filter val="5"/>
      </filters>
    </filterColumn>
  </autoFilter>
  <sortState ref="A11:K30">
    <sortCondition descending="1" ref="E3:E42"/>
  </sortState>
  <tableColumns count="11">
    <tableColumn id="1" name="Sprint" totalsRowLabel="Total" dataDxfId="24" totalsRowDxfId="10"/>
    <tableColumn id="2" name="Catégorie" dataDxfId="23" totalsRowDxfId="9"/>
    <tableColumn id="3" name="Sous catégorie" dataDxfId="22" totalsRowDxfId="8"/>
    <tableColumn id="4" name="Nom / Description" dataDxfId="21" totalsRowDxfId="7"/>
    <tableColumn id="5" name="Importance" dataDxfId="20" totalsRowDxfId="6"/>
    <tableColumn id="6" name="Estimation" totalsRowFunction="sum" dataDxfId="19" totalsRowDxfId="5"/>
    <tableColumn id="7" name="Critères de Vérification" dataDxfId="18" totalsRowDxfId="4"/>
    <tableColumn id="13" name="Acteur" dataDxfId="17" totalsRowDxfId="3"/>
    <tableColumn id="8" name="Status" dataDxfId="16" totalsRowDxfId="2"/>
    <tableColumn id="9" name="Notes" dataDxfId="15" totalsRowDxfId="1"/>
    <tableColumn id="10" name="Bug" totalsRowFunction="count" dataDxfId="1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84"/>
  <sheetViews>
    <sheetView showGridLines="0" tabSelected="1" zoomScale="80" zoomScaleNormal="80" workbookViewId="0">
      <selection activeCell="P31" sqref="P31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5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hidden="1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hidden="1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hidden="1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hidden="1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hidden="1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hidden="1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hidden="1" customHeight="1" x14ac:dyDescent="0.25">
      <c r="A10" s="66">
        <v>3</v>
      </c>
      <c r="B10" s="27" t="s">
        <v>39</v>
      </c>
      <c r="C10" s="38" t="s">
        <v>100</v>
      </c>
      <c r="D10" s="34" t="s">
        <v>114</v>
      </c>
      <c r="E10" s="22">
        <v>100</v>
      </c>
      <c r="F10" s="22">
        <v>2</v>
      </c>
      <c r="G10" s="16" t="s">
        <v>50</v>
      </c>
      <c r="H10" s="16" t="s">
        <v>104</v>
      </c>
      <c r="I10" s="15" t="s">
        <v>21</v>
      </c>
      <c r="J10" s="16"/>
      <c r="K10" s="23"/>
    </row>
    <row r="11" spans="1:11" s="58" customFormat="1" ht="39.950000000000003" hidden="1" customHeight="1" x14ac:dyDescent="0.25">
      <c r="A11" s="66">
        <v>1</v>
      </c>
      <c r="B11" s="27" t="s">
        <v>39</v>
      </c>
      <c r="C11" s="38" t="s">
        <v>33</v>
      </c>
      <c r="D11" s="34" t="s">
        <v>69</v>
      </c>
      <c r="E11" s="22">
        <v>90</v>
      </c>
      <c r="F11" s="22">
        <v>1.5</v>
      </c>
      <c r="G11" s="16"/>
      <c r="H11" s="16" t="s">
        <v>107</v>
      </c>
      <c r="I11" s="15" t="s">
        <v>99</v>
      </c>
      <c r="J11" s="16"/>
      <c r="K11" s="23"/>
    </row>
    <row r="12" spans="1:11" s="58" customFormat="1" ht="39.950000000000003" hidden="1" customHeight="1" x14ac:dyDescent="0.25">
      <c r="A12" s="65">
        <v>3</v>
      </c>
      <c r="B12" s="27" t="s">
        <v>39</v>
      </c>
      <c r="C12" s="26"/>
      <c r="D12" s="5" t="s">
        <v>52</v>
      </c>
      <c r="E12" s="22">
        <v>90</v>
      </c>
      <c r="F12" s="22">
        <v>1</v>
      </c>
      <c r="G12" s="16"/>
      <c r="H12" s="16" t="s">
        <v>109</v>
      </c>
      <c r="I12" s="15" t="s">
        <v>99</v>
      </c>
      <c r="J12" s="16" t="s">
        <v>115</v>
      </c>
      <c r="K12" s="23"/>
    </row>
    <row r="13" spans="1:11" s="58" customFormat="1" ht="39.950000000000003" hidden="1" customHeight="1" x14ac:dyDescent="0.25">
      <c r="A13" s="65">
        <v>2</v>
      </c>
      <c r="B13" s="27" t="s">
        <v>39</v>
      </c>
      <c r="C13" s="26" t="s">
        <v>33</v>
      </c>
      <c r="D13" s="5" t="s">
        <v>108</v>
      </c>
      <c r="E13" s="22">
        <v>90</v>
      </c>
      <c r="F13" s="22">
        <v>0.5</v>
      </c>
      <c r="G13" s="16"/>
      <c r="H13" s="16" t="s">
        <v>103</v>
      </c>
      <c r="I13" s="15" t="s">
        <v>43</v>
      </c>
      <c r="J13" s="16"/>
      <c r="K13" s="23"/>
    </row>
    <row r="14" spans="1:11" s="58" customFormat="1" ht="39.950000000000003" hidden="1" customHeight="1" x14ac:dyDescent="0.25">
      <c r="A14" s="27">
        <v>3</v>
      </c>
      <c r="B14" s="27" t="s">
        <v>39</v>
      </c>
      <c r="C14" s="26" t="s">
        <v>32</v>
      </c>
      <c r="D14" s="4" t="s">
        <v>57</v>
      </c>
      <c r="E14" s="22">
        <v>90</v>
      </c>
      <c r="F14" s="22">
        <v>1</v>
      </c>
      <c r="G14" s="16" t="s">
        <v>95</v>
      </c>
      <c r="H14" s="16" t="s">
        <v>103</v>
      </c>
      <c r="I14" s="15" t="s">
        <v>21</v>
      </c>
      <c r="J14" s="16" t="s">
        <v>115</v>
      </c>
      <c r="K14" s="23"/>
    </row>
    <row r="15" spans="1:11" s="58" customFormat="1" ht="39.950000000000003" hidden="1" customHeight="1" x14ac:dyDescent="0.25">
      <c r="A15" s="27">
        <v>1</v>
      </c>
      <c r="B15" s="27" t="s">
        <v>82</v>
      </c>
      <c r="C15" s="26"/>
      <c r="D15" s="3" t="s">
        <v>49</v>
      </c>
      <c r="E15" s="22">
        <v>90</v>
      </c>
      <c r="F15" s="22">
        <v>1</v>
      </c>
      <c r="G15" s="16" t="s">
        <v>50</v>
      </c>
      <c r="H15" s="16" t="s">
        <v>104</v>
      </c>
      <c r="I15" s="15" t="s">
        <v>21</v>
      </c>
      <c r="J15" s="16"/>
      <c r="K15" s="23"/>
    </row>
    <row r="16" spans="1:11" s="58" customFormat="1" ht="39.950000000000003" hidden="1" customHeight="1" x14ac:dyDescent="0.25">
      <c r="A16" s="65">
        <v>3</v>
      </c>
      <c r="B16" s="27" t="s">
        <v>39</v>
      </c>
      <c r="C16" s="26" t="s">
        <v>32</v>
      </c>
      <c r="D16" s="5" t="s">
        <v>61</v>
      </c>
      <c r="E16" s="22">
        <v>85</v>
      </c>
      <c r="F16" s="22">
        <v>0.5</v>
      </c>
      <c r="G16" s="16"/>
      <c r="H16" s="16" t="s">
        <v>107</v>
      </c>
      <c r="I16" s="15" t="s">
        <v>21</v>
      </c>
      <c r="J16" s="16" t="s">
        <v>115</v>
      </c>
      <c r="K16" s="23"/>
    </row>
    <row r="17" spans="1:11" s="58" customFormat="1" ht="39.950000000000003" hidden="1" customHeight="1" x14ac:dyDescent="0.25">
      <c r="A17" s="27">
        <v>2</v>
      </c>
      <c r="B17" s="27" t="s">
        <v>39</v>
      </c>
      <c r="C17" s="26" t="s">
        <v>33</v>
      </c>
      <c r="D17" s="5" t="s">
        <v>62</v>
      </c>
      <c r="E17" s="22">
        <v>85</v>
      </c>
      <c r="F17" s="22">
        <v>1.5</v>
      </c>
      <c r="G17" s="16"/>
      <c r="H17" s="16" t="s">
        <v>104</v>
      </c>
      <c r="I17" s="15" t="s">
        <v>43</v>
      </c>
      <c r="J17" s="16" t="s">
        <v>112</v>
      </c>
      <c r="K17" s="23"/>
    </row>
    <row r="18" spans="1:11" s="58" customFormat="1" ht="39.950000000000003" hidden="1" customHeight="1" x14ac:dyDescent="0.25">
      <c r="A18" s="65">
        <v>2</v>
      </c>
      <c r="B18" s="27" t="s">
        <v>39</v>
      </c>
      <c r="C18" s="26" t="s">
        <v>86</v>
      </c>
      <c r="D18" s="5" t="s">
        <v>55</v>
      </c>
      <c r="E18" s="22">
        <v>85</v>
      </c>
      <c r="F18" s="22">
        <v>1.5</v>
      </c>
      <c r="G18" s="16" t="s">
        <v>50</v>
      </c>
      <c r="H18" s="16" t="s">
        <v>109</v>
      </c>
      <c r="I18" s="15" t="s">
        <v>21</v>
      </c>
      <c r="J18" s="16" t="s">
        <v>113</v>
      </c>
      <c r="K18" s="23"/>
    </row>
    <row r="19" spans="1:11" s="58" customFormat="1" ht="39.950000000000003" hidden="1" customHeight="1" x14ac:dyDescent="0.25">
      <c r="A19" s="66">
        <v>1</v>
      </c>
      <c r="B19" s="27" t="s">
        <v>39</v>
      </c>
      <c r="C19" s="38" t="s">
        <v>87</v>
      </c>
      <c r="D19" s="34" t="s">
        <v>72</v>
      </c>
      <c r="E19" s="22">
        <v>85</v>
      </c>
      <c r="F19" s="22">
        <v>0.5</v>
      </c>
      <c r="G19" s="16" t="s">
        <v>50</v>
      </c>
      <c r="H19" s="16" t="s">
        <v>104</v>
      </c>
      <c r="I19" s="15" t="s">
        <v>43</v>
      </c>
      <c r="J19" s="16"/>
      <c r="K19" s="23"/>
    </row>
    <row r="20" spans="1:11" s="58" customFormat="1" ht="39.950000000000003" hidden="1" customHeight="1" x14ac:dyDescent="0.25">
      <c r="A20" s="66">
        <v>4</v>
      </c>
      <c r="B20" s="27" t="s">
        <v>39</v>
      </c>
      <c r="C20" s="38" t="s">
        <v>86</v>
      </c>
      <c r="D20" s="34" t="s">
        <v>66</v>
      </c>
      <c r="E20" s="22">
        <v>80</v>
      </c>
      <c r="F20" s="22">
        <v>2</v>
      </c>
      <c r="G20" s="16"/>
      <c r="H20" s="16" t="s">
        <v>103</v>
      </c>
      <c r="I20" s="15" t="s">
        <v>99</v>
      </c>
      <c r="J20" s="16" t="s">
        <v>115</v>
      </c>
      <c r="K20" s="23"/>
    </row>
    <row r="21" spans="1:11" s="58" customFormat="1" ht="39.950000000000003" hidden="1" customHeight="1" x14ac:dyDescent="0.25">
      <c r="A21" s="66">
        <v>2</v>
      </c>
      <c r="B21" s="27" t="s">
        <v>39</v>
      </c>
      <c r="C21" s="38" t="s">
        <v>32</v>
      </c>
      <c r="D21" s="34" t="s">
        <v>70</v>
      </c>
      <c r="E21" s="22">
        <v>80</v>
      </c>
      <c r="F21" s="22">
        <v>1.5</v>
      </c>
      <c r="G21" s="16" t="s">
        <v>94</v>
      </c>
      <c r="H21" s="16" t="s">
        <v>107</v>
      </c>
      <c r="I21" s="15" t="s">
        <v>43</v>
      </c>
      <c r="J21" s="16"/>
      <c r="K21" s="23"/>
    </row>
    <row r="22" spans="1:11" s="58" customFormat="1" ht="39.950000000000003" hidden="1" customHeight="1" x14ac:dyDescent="0.25">
      <c r="A22" s="65">
        <v>4</v>
      </c>
      <c r="B22" s="27" t="s">
        <v>39</v>
      </c>
      <c r="C22" s="26" t="s">
        <v>32</v>
      </c>
      <c r="D22" s="5" t="s">
        <v>63</v>
      </c>
      <c r="E22" s="22">
        <v>75</v>
      </c>
      <c r="F22" s="22">
        <v>1</v>
      </c>
      <c r="G22" s="16" t="s">
        <v>96</v>
      </c>
      <c r="H22" s="16" t="s">
        <v>110</v>
      </c>
      <c r="I22" s="15" t="s">
        <v>21</v>
      </c>
      <c r="J22" s="16" t="s">
        <v>115</v>
      </c>
      <c r="K22" s="23"/>
    </row>
    <row r="23" spans="1:11" s="58" customFormat="1" ht="39.950000000000003" customHeight="1" x14ac:dyDescent="0.25">
      <c r="A23" s="27">
        <v>5</v>
      </c>
      <c r="B23" s="27" t="s">
        <v>39</v>
      </c>
      <c r="C23" s="26" t="s">
        <v>86</v>
      </c>
      <c r="D23" s="5" t="s">
        <v>59</v>
      </c>
      <c r="E23" s="22">
        <v>75</v>
      </c>
      <c r="F23" s="22" t="s">
        <v>56</v>
      </c>
      <c r="G23" s="16"/>
      <c r="H23" s="16"/>
      <c r="I23" s="15" t="s">
        <v>99</v>
      </c>
      <c r="J23" s="16"/>
      <c r="K23" s="23"/>
    </row>
    <row r="24" spans="1:11" s="58" customFormat="1" ht="39.950000000000003" customHeight="1" x14ac:dyDescent="0.25">
      <c r="A24" s="65">
        <v>5</v>
      </c>
      <c r="B24" s="27" t="s">
        <v>39</v>
      </c>
      <c r="C24" s="26" t="s">
        <v>86</v>
      </c>
      <c r="D24" s="5" t="s">
        <v>88</v>
      </c>
      <c r="E24" s="22">
        <v>75</v>
      </c>
      <c r="F24" s="22">
        <v>1.5</v>
      </c>
      <c r="G24" s="16"/>
      <c r="H24" s="16" t="s">
        <v>109</v>
      </c>
      <c r="I24" s="15" t="s">
        <v>99</v>
      </c>
      <c r="J24" s="16" t="s">
        <v>115</v>
      </c>
      <c r="K24" s="23"/>
    </row>
    <row r="25" spans="1:11" s="58" customFormat="1" ht="39.950000000000003" hidden="1" customHeight="1" x14ac:dyDescent="0.25">
      <c r="A25" s="27">
        <v>4</v>
      </c>
      <c r="B25" s="27" t="s">
        <v>39</v>
      </c>
      <c r="C25" s="26" t="s">
        <v>86</v>
      </c>
      <c r="D25" s="5" t="s">
        <v>64</v>
      </c>
      <c r="E25" s="22">
        <v>70</v>
      </c>
      <c r="F25" s="22">
        <v>1</v>
      </c>
      <c r="G25" s="16" t="s">
        <v>50</v>
      </c>
      <c r="H25" s="16" t="s">
        <v>110</v>
      </c>
      <c r="I25" s="15" t="s">
        <v>99</v>
      </c>
      <c r="J25" s="16" t="s">
        <v>115</v>
      </c>
      <c r="K25" s="23"/>
    </row>
    <row r="26" spans="1:11" s="58" customFormat="1" ht="39.950000000000003" hidden="1" customHeight="1" x14ac:dyDescent="0.25">
      <c r="A26" s="65">
        <v>2</v>
      </c>
      <c r="B26" s="27" t="s">
        <v>39</v>
      </c>
      <c r="C26" s="26" t="s">
        <v>86</v>
      </c>
      <c r="D26" s="5" t="s">
        <v>65</v>
      </c>
      <c r="E26" s="22">
        <v>70</v>
      </c>
      <c r="F26" s="22">
        <v>1</v>
      </c>
      <c r="G26" s="16"/>
      <c r="H26" s="16" t="s">
        <v>107</v>
      </c>
      <c r="I26" s="15" t="s">
        <v>99</v>
      </c>
      <c r="J26" s="16"/>
      <c r="K26" s="23"/>
    </row>
    <row r="27" spans="1:11" s="58" customFormat="1" ht="39.950000000000003" hidden="1" customHeight="1" x14ac:dyDescent="0.25">
      <c r="A27" s="66">
        <v>2</v>
      </c>
      <c r="B27" s="27" t="s">
        <v>39</v>
      </c>
      <c r="C27" s="38" t="s">
        <v>32</v>
      </c>
      <c r="D27" s="34" t="s">
        <v>67</v>
      </c>
      <c r="E27" s="22">
        <v>70</v>
      </c>
      <c r="F27" s="22">
        <v>2</v>
      </c>
      <c r="G27" s="16" t="s">
        <v>94</v>
      </c>
      <c r="H27" s="16" t="s">
        <v>111</v>
      </c>
      <c r="I27" s="15" t="s">
        <v>44</v>
      </c>
      <c r="J27" s="16"/>
      <c r="K27" s="23"/>
    </row>
    <row r="28" spans="1:11" s="58" customFormat="1" ht="39.950000000000003" hidden="1" customHeight="1" x14ac:dyDescent="0.25">
      <c r="A28" s="66">
        <v>2</v>
      </c>
      <c r="B28" s="27" t="s">
        <v>39</v>
      </c>
      <c r="C28" s="38" t="s">
        <v>87</v>
      </c>
      <c r="D28" s="34" t="s">
        <v>73</v>
      </c>
      <c r="E28" s="22">
        <v>70</v>
      </c>
      <c r="F28" s="22">
        <v>1</v>
      </c>
      <c r="G28" s="16" t="s">
        <v>50</v>
      </c>
      <c r="H28" s="16" t="s">
        <v>107</v>
      </c>
      <c r="I28" s="15" t="s">
        <v>43</v>
      </c>
      <c r="J28" s="16"/>
      <c r="K28" s="23"/>
    </row>
    <row r="29" spans="1:11" s="58" customFormat="1" ht="39.950000000000003" hidden="1" customHeight="1" x14ac:dyDescent="0.25">
      <c r="A29" s="66">
        <v>3</v>
      </c>
      <c r="B29" s="27" t="s">
        <v>39</v>
      </c>
      <c r="C29" s="38" t="s">
        <v>87</v>
      </c>
      <c r="D29" s="34" t="s">
        <v>71</v>
      </c>
      <c r="E29" s="22">
        <v>70</v>
      </c>
      <c r="F29" s="22">
        <v>1</v>
      </c>
      <c r="G29" s="16" t="s">
        <v>50</v>
      </c>
      <c r="H29" s="16" t="s">
        <v>109</v>
      </c>
      <c r="I29" s="15" t="s">
        <v>99</v>
      </c>
      <c r="J29" s="16"/>
      <c r="K29" s="23"/>
    </row>
    <row r="30" spans="1:11" s="58" customFormat="1" ht="39.950000000000003" hidden="1" customHeight="1" x14ac:dyDescent="0.25">
      <c r="A30" s="27">
        <v>4</v>
      </c>
      <c r="B30" s="27" t="s">
        <v>39</v>
      </c>
      <c r="C30" s="26" t="s">
        <v>32</v>
      </c>
      <c r="D30" s="5" t="s">
        <v>60</v>
      </c>
      <c r="E30" s="22">
        <v>70</v>
      </c>
      <c r="F30" s="22">
        <v>1</v>
      </c>
      <c r="G30" s="16" t="s">
        <v>50</v>
      </c>
      <c r="H30" s="16" t="s">
        <v>116</v>
      </c>
      <c r="I30" s="15" t="s">
        <v>99</v>
      </c>
      <c r="J30" s="16"/>
      <c r="K30" s="23"/>
    </row>
    <row r="31" spans="1:11" s="58" customFormat="1" ht="39.950000000000003" customHeight="1" x14ac:dyDescent="0.25">
      <c r="A31" s="27">
        <v>5</v>
      </c>
      <c r="B31" s="27" t="s">
        <v>39</v>
      </c>
      <c r="C31" s="26" t="s">
        <v>33</v>
      </c>
      <c r="D31" s="5" t="s">
        <v>77</v>
      </c>
      <c r="E31" s="22">
        <v>55</v>
      </c>
      <c r="F31" s="22">
        <v>2</v>
      </c>
      <c r="G31" s="16"/>
      <c r="H31" s="16"/>
      <c r="I31" s="15" t="s">
        <v>99</v>
      </c>
      <c r="J31" s="16"/>
      <c r="K31" s="23"/>
    </row>
    <row r="32" spans="1:11" s="58" customFormat="1" ht="39.950000000000003" hidden="1" customHeight="1" x14ac:dyDescent="0.25">
      <c r="A32" s="66">
        <v>4</v>
      </c>
      <c r="B32" s="27" t="s">
        <v>39</v>
      </c>
      <c r="C32" s="38" t="s">
        <v>32</v>
      </c>
      <c r="D32" s="34" t="s">
        <v>68</v>
      </c>
      <c r="E32" s="22">
        <v>65</v>
      </c>
      <c r="F32" s="22">
        <v>2</v>
      </c>
      <c r="G32" s="16" t="s">
        <v>94</v>
      </c>
      <c r="H32" s="16"/>
      <c r="I32" s="15" t="s">
        <v>99</v>
      </c>
      <c r="J32" s="16"/>
      <c r="K32" s="23"/>
    </row>
    <row r="33" spans="1:11" s="58" customFormat="1" ht="39.950000000000003" customHeight="1" x14ac:dyDescent="0.25">
      <c r="A33" s="65">
        <v>5</v>
      </c>
      <c r="B33" s="27" t="s">
        <v>39</v>
      </c>
      <c r="C33" s="26" t="s">
        <v>87</v>
      </c>
      <c r="D33" s="5" t="s">
        <v>78</v>
      </c>
      <c r="E33" s="22">
        <v>65</v>
      </c>
      <c r="F33" s="22">
        <v>0.5</v>
      </c>
      <c r="G33" s="16" t="s">
        <v>50</v>
      </c>
      <c r="H33" s="16" t="s">
        <v>107</v>
      </c>
      <c r="I33" s="15" t="s">
        <v>99</v>
      </c>
      <c r="J33" s="16"/>
      <c r="K33" s="23"/>
    </row>
    <row r="34" spans="1:11" s="58" customFormat="1" ht="39.950000000000003" hidden="1" customHeight="1" x14ac:dyDescent="0.25">
      <c r="A34" s="27">
        <v>4</v>
      </c>
      <c r="B34" s="27" t="s">
        <v>39</v>
      </c>
      <c r="C34" s="26" t="s">
        <v>87</v>
      </c>
      <c r="D34" s="5" t="s">
        <v>58</v>
      </c>
      <c r="E34" s="22">
        <v>60</v>
      </c>
      <c r="F34" s="22">
        <v>0.5</v>
      </c>
      <c r="G34" s="16" t="s">
        <v>50</v>
      </c>
      <c r="H34" s="16"/>
      <c r="I34" s="15" t="s">
        <v>99</v>
      </c>
      <c r="J34" s="16"/>
      <c r="K34" s="23"/>
    </row>
    <row r="35" spans="1:11" s="58" customFormat="1" ht="39.950000000000003" customHeight="1" x14ac:dyDescent="0.25">
      <c r="A35" s="66">
        <v>5</v>
      </c>
      <c r="B35" s="27" t="s">
        <v>39</v>
      </c>
      <c r="C35" s="38" t="s">
        <v>87</v>
      </c>
      <c r="D35" s="34" t="s">
        <v>75</v>
      </c>
      <c r="E35" s="22">
        <v>60</v>
      </c>
      <c r="F35" s="22">
        <v>1</v>
      </c>
      <c r="G35" s="16" t="s">
        <v>97</v>
      </c>
      <c r="H35" s="16"/>
      <c r="I35" s="15" t="s">
        <v>99</v>
      </c>
      <c r="J35" s="16"/>
      <c r="K35" s="23"/>
    </row>
    <row r="36" spans="1:11" s="58" customFormat="1" ht="39.950000000000003" hidden="1" customHeight="1" x14ac:dyDescent="0.25">
      <c r="A36" s="66">
        <v>4</v>
      </c>
      <c r="B36" s="27" t="s">
        <v>82</v>
      </c>
      <c r="C36" s="38" t="s">
        <v>87</v>
      </c>
      <c r="D36" s="34" t="s">
        <v>117</v>
      </c>
      <c r="E36" s="22">
        <v>70</v>
      </c>
      <c r="F36" s="22">
        <v>2</v>
      </c>
      <c r="G36" s="16"/>
      <c r="H36" s="16" t="s">
        <v>107</v>
      </c>
      <c r="I36" s="15" t="s">
        <v>99</v>
      </c>
      <c r="J36" s="16"/>
      <c r="K36" s="23"/>
    </row>
    <row r="37" spans="1:11" s="58" customFormat="1" ht="39.950000000000003" hidden="1" customHeight="1" x14ac:dyDescent="0.25">
      <c r="A37" s="66"/>
      <c r="B37" s="27" t="s">
        <v>39</v>
      </c>
      <c r="C37" s="38" t="s">
        <v>32</v>
      </c>
      <c r="D37" s="34" t="s">
        <v>81</v>
      </c>
      <c r="E37" s="22">
        <v>60</v>
      </c>
      <c r="F37" s="22">
        <v>1</v>
      </c>
      <c r="G37" s="16"/>
      <c r="H37" s="16" t="s">
        <v>107</v>
      </c>
      <c r="I37" s="15" t="s">
        <v>99</v>
      </c>
      <c r="J37" s="16"/>
      <c r="K37" s="23"/>
    </row>
    <row r="38" spans="1:11" s="58" customFormat="1" ht="39.950000000000003" customHeight="1" x14ac:dyDescent="0.25">
      <c r="A38" s="66">
        <v>5</v>
      </c>
      <c r="B38" s="27" t="s">
        <v>39</v>
      </c>
      <c r="C38" s="38" t="s">
        <v>87</v>
      </c>
      <c r="D38" s="34" t="s">
        <v>74</v>
      </c>
      <c r="E38" s="22">
        <v>50</v>
      </c>
      <c r="F38" s="22">
        <v>0.5</v>
      </c>
      <c r="G38" s="16" t="s">
        <v>50</v>
      </c>
      <c r="H38" s="16"/>
      <c r="I38" s="15" t="s">
        <v>99</v>
      </c>
      <c r="J38" s="16"/>
      <c r="K38" s="23"/>
    </row>
    <row r="39" spans="1:11" s="58" customFormat="1" ht="39.950000000000003" customHeight="1" x14ac:dyDescent="0.25">
      <c r="A39" s="65">
        <v>5</v>
      </c>
      <c r="B39" s="27" t="s">
        <v>83</v>
      </c>
      <c r="C39" s="26"/>
      <c r="D39" s="5" t="s">
        <v>80</v>
      </c>
      <c r="E39" s="22">
        <v>40</v>
      </c>
      <c r="F39" s="22">
        <v>2</v>
      </c>
      <c r="G39" s="16" t="s">
        <v>50</v>
      </c>
      <c r="H39" s="16"/>
      <c r="I39" s="15" t="s">
        <v>99</v>
      </c>
      <c r="J39" s="16"/>
      <c r="K39" s="23"/>
    </row>
    <row r="40" spans="1:11" s="58" customFormat="1" ht="39.950000000000003" customHeight="1" x14ac:dyDescent="0.25">
      <c r="A40" s="27">
        <v>5</v>
      </c>
      <c r="B40" s="27" t="s">
        <v>82</v>
      </c>
      <c r="C40" s="26"/>
      <c r="D40" s="5" t="s">
        <v>79</v>
      </c>
      <c r="E40" s="22">
        <v>40</v>
      </c>
      <c r="F40" s="22">
        <v>2</v>
      </c>
      <c r="G40" s="16" t="s">
        <v>50</v>
      </c>
      <c r="H40" s="16"/>
      <c r="I40" s="15" t="s">
        <v>99</v>
      </c>
      <c r="J40" s="16"/>
      <c r="K40" s="23"/>
    </row>
    <row r="41" spans="1:11" s="58" customFormat="1" ht="39.950000000000003" customHeight="1" x14ac:dyDescent="0.25">
      <c r="A41" s="27">
        <v>5</v>
      </c>
      <c r="B41" s="27" t="s">
        <v>83</v>
      </c>
      <c r="C41" s="26"/>
      <c r="D41" s="4" t="s">
        <v>85</v>
      </c>
      <c r="E41" s="22">
        <v>30</v>
      </c>
      <c r="F41" s="22">
        <v>2</v>
      </c>
      <c r="G41" s="16" t="s">
        <v>98</v>
      </c>
      <c r="H41" s="16"/>
      <c r="I41" s="15" t="s">
        <v>99</v>
      </c>
      <c r="J41" s="16"/>
      <c r="K41" s="23"/>
    </row>
    <row r="42" spans="1:11" s="58" customFormat="1" ht="39.950000000000003" customHeight="1" x14ac:dyDescent="0.25">
      <c r="A42" s="27">
        <v>5</v>
      </c>
      <c r="B42" s="27" t="s">
        <v>39</v>
      </c>
      <c r="C42" s="26"/>
      <c r="D42" s="4" t="s">
        <v>119</v>
      </c>
      <c r="E42" s="22">
        <v>60</v>
      </c>
      <c r="F42" s="22">
        <v>2</v>
      </c>
      <c r="G42" s="16"/>
      <c r="H42" s="16"/>
      <c r="I42" s="15"/>
      <c r="J42" s="16"/>
      <c r="K42" s="23"/>
    </row>
    <row r="43" spans="1:11" s="58" customFormat="1" ht="39.950000000000003" customHeight="1" x14ac:dyDescent="0.25">
      <c r="A43" s="27">
        <v>5</v>
      </c>
      <c r="B43" s="27" t="s">
        <v>39</v>
      </c>
      <c r="C43" s="26" t="s">
        <v>87</v>
      </c>
      <c r="D43" s="4" t="s">
        <v>118</v>
      </c>
      <c r="E43" s="22">
        <v>75</v>
      </c>
      <c r="F43" s="22">
        <v>2</v>
      </c>
      <c r="G43" s="16"/>
      <c r="H43" s="16"/>
      <c r="I43" s="15" t="s">
        <v>99</v>
      </c>
      <c r="J43" s="16"/>
      <c r="K43" s="23"/>
    </row>
    <row r="44" spans="1:11" s="58" customFormat="1" ht="39.950000000000003" hidden="1" customHeight="1" x14ac:dyDescent="0.25">
      <c r="A44" s="66"/>
      <c r="B44" s="27" t="s">
        <v>39</v>
      </c>
      <c r="C44" s="38" t="s">
        <v>87</v>
      </c>
      <c r="D44" s="34" t="s">
        <v>76</v>
      </c>
      <c r="E44" s="22">
        <v>30</v>
      </c>
      <c r="F44" s="22">
        <v>0.5</v>
      </c>
      <c r="G44" s="16" t="s">
        <v>50</v>
      </c>
      <c r="H44" s="16"/>
      <c r="I44" s="15" t="s">
        <v>99</v>
      </c>
      <c r="J44" s="16"/>
      <c r="K44" s="23"/>
    </row>
    <row r="45" spans="1:11" s="58" customFormat="1" hidden="1" x14ac:dyDescent="0.25">
      <c r="A45" s="25"/>
      <c r="B45" s="27"/>
      <c r="C45" s="26"/>
      <c r="D45" s="5"/>
      <c r="E45" s="22"/>
      <c r="F45" s="22"/>
      <c r="G45" s="16"/>
      <c r="H45" s="16"/>
      <c r="I45" s="15"/>
      <c r="J45" s="16"/>
      <c r="K45" s="23"/>
    </row>
    <row r="46" spans="1:11" s="58" customFormat="1" hidden="1" x14ac:dyDescent="0.25">
      <c r="A46" s="25"/>
      <c r="B46" s="27"/>
      <c r="C46" s="31"/>
      <c r="D46" s="5"/>
      <c r="E46" s="22"/>
      <c r="F46" s="24"/>
      <c r="G46" s="16"/>
      <c r="H46" s="16"/>
      <c r="I46" s="15"/>
      <c r="J46" s="16"/>
      <c r="K46" s="23"/>
    </row>
    <row r="47" spans="1:11" s="58" customFormat="1" x14ac:dyDescent="0.25">
      <c r="A47" s="32" t="s">
        <v>20</v>
      </c>
      <c r="B47" s="33"/>
      <c r="C47" s="61"/>
      <c r="D47" s="59"/>
      <c r="E47" s="54"/>
      <c r="F47" s="55">
        <f>SUBTOTAL(109,Tableau1[Estimation])</f>
        <v>15.5</v>
      </c>
      <c r="G47" s="56"/>
      <c r="H47" s="56"/>
      <c r="I47" s="57"/>
      <c r="J47" s="56"/>
      <c r="K47" s="58">
        <f>SUBTOTAL(103,Tableau1[Bug])</f>
        <v>0</v>
      </c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0" s="58" customFormat="1" x14ac:dyDescent="0.25">
      <c r="A257" s="52"/>
      <c r="B257" s="53"/>
      <c r="C257" s="60"/>
      <c r="D257" s="57"/>
      <c r="E257" s="54"/>
      <c r="F257" s="54"/>
      <c r="H257" s="57"/>
    </row>
    <row r="258" spans="1:10" s="58" customFormat="1" x14ac:dyDescent="0.25">
      <c r="A258" s="52"/>
      <c r="B258" s="53"/>
      <c r="C258" s="60"/>
      <c r="D258" s="57"/>
      <c r="E258" s="54"/>
      <c r="F258" s="54"/>
      <c r="H258" s="57"/>
    </row>
    <row r="259" spans="1:10" s="58" customFormat="1" x14ac:dyDescent="0.25">
      <c r="A259" s="52"/>
      <c r="B259" s="53"/>
      <c r="C259" s="60"/>
      <c r="D259" s="57"/>
      <c r="E259" s="54"/>
      <c r="F259" s="54"/>
      <c r="H259" s="57"/>
    </row>
    <row r="260" spans="1:10" s="58" customFormat="1" x14ac:dyDescent="0.25">
      <c r="A260" s="52"/>
      <c r="B260" s="53"/>
      <c r="C260" s="60"/>
      <c r="D260" s="57"/>
      <c r="E260" s="54"/>
      <c r="F260" s="54"/>
      <c r="H260" s="57"/>
    </row>
    <row r="261" spans="1:10" s="58" customFormat="1" x14ac:dyDescent="0.25">
      <c r="A261" s="52"/>
      <c r="B261" s="53"/>
      <c r="C261" s="60"/>
      <c r="D261" s="57"/>
      <c r="E261" s="54"/>
      <c r="F261" s="54"/>
      <c r="H261" s="57"/>
    </row>
    <row r="262" spans="1:10" s="58" customFormat="1" x14ac:dyDescent="0.25">
      <c r="A262" s="52"/>
      <c r="B262" s="53"/>
      <c r="C262" s="60"/>
      <c r="D262" s="57"/>
      <c r="E262" s="54"/>
      <c r="F262" s="54"/>
      <c r="H262" s="57"/>
    </row>
    <row r="263" spans="1:10" s="58" customFormat="1" x14ac:dyDescent="0.25">
      <c r="A263" s="52"/>
      <c r="B263" s="53"/>
      <c r="C263" s="60"/>
      <c r="D263" s="57"/>
      <c r="E263" s="54"/>
      <c r="F263" s="54"/>
      <c r="H263" s="57"/>
    </row>
    <row r="264" spans="1:10" s="58" customFormat="1" x14ac:dyDescent="0.25">
      <c r="A264" s="52"/>
      <c r="B264" s="53"/>
      <c r="C264" s="60"/>
      <c r="D264" s="57"/>
      <c r="E264" s="54"/>
      <c r="F264" s="54"/>
      <c r="H264" s="57"/>
    </row>
    <row r="265" spans="1:10" s="58" customFormat="1" x14ac:dyDescent="0.25">
      <c r="A265" s="52"/>
      <c r="B265" s="53"/>
      <c r="C265" s="60"/>
      <c r="D265" s="57"/>
      <c r="E265" s="54"/>
      <c r="F265" s="54"/>
      <c r="H265" s="57"/>
    </row>
    <row r="266" spans="1:10" s="58" customFormat="1" x14ac:dyDescent="0.25">
      <c r="A266" s="52"/>
      <c r="B266" s="53"/>
      <c r="C266" s="60"/>
      <c r="D266" s="57"/>
      <c r="E266" s="54"/>
      <c r="F266" s="54"/>
      <c r="H266" s="57"/>
    </row>
    <row r="267" spans="1:10" s="58" customFormat="1" x14ac:dyDescent="0.25">
      <c r="A267" s="52"/>
      <c r="B267" s="53"/>
      <c r="C267" s="60"/>
      <c r="D267" s="57"/>
      <c r="E267" s="54"/>
      <c r="F267" s="54"/>
      <c r="H267" s="57"/>
    </row>
    <row r="268" spans="1:10" s="58" customFormat="1" x14ac:dyDescent="0.25">
      <c r="A268" s="52"/>
      <c r="B268" s="53"/>
      <c r="C268" s="60"/>
      <c r="D268" s="57"/>
      <c r="E268" s="54"/>
      <c r="F268" s="54"/>
      <c r="H268" s="57"/>
    </row>
    <row r="269" spans="1:10" s="58" customFormat="1" x14ac:dyDescent="0.25">
      <c r="A269" s="52"/>
      <c r="B269" s="53"/>
      <c r="C269" s="60"/>
      <c r="D269" s="57"/>
      <c r="E269" s="54"/>
      <c r="F269" s="54"/>
      <c r="H269" s="57"/>
    </row>
    <row r="270" spans="1:10" x14ac:dyDescent="0.25">
      <c r="A270" s="52"/>
      <c r="D270" s="57"/>
      <c r="E270" s="54"/>
      <c r="F270" s="54"/>
      <c r="G270" s="58"/>
      <c r="I270" s="58"/>
      <c r="J270" s="58"/>
    </row>
    <row r="271" spans="1:10" x14ac:dyDescent="0.25">
      <c r="A271" s="52"/>
      <c r="D271" s="57"/>
      <c r="E271" s="54"/>
      <c r="F271" s="54"/>
      <c r="G271" s="58"/>
      <c r="I271" s="58"/>
      <c r="J271" s="58"/>
    </row>
    <row r="272" spans="1:10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  <row r="280" spans="1:10" x14ac:dyDescent="0.25">
      <c r="A280" s="52"/>
      <c r="D280" s="57"/>
      <c r="E280" s="54"/>
      <c r="F280" s="54"/>
      <c r="G280" s="58"/>
      <c r="I280" s="58"/>
      <c r="J280" s="58"/>
    </row>
    <row r="281" spans="1:10" x14ac:dyDescent="0.25">
      <c r="A281" s="52"/>
      <c r="D281" s="57"/>
      <c r="E281" s="54"/>
      <c r="F281" s="54"/>
      <c r="G281" s="58"/>
      <c r="I281" s="58"/>
      <c r="J281" s="58"/>
    </row>
    <row r="282" spans="1:10" x14ac:dyDescent="0.25">
      <c r="A282" s="52"/>
      <c r="D282" s="57"/>
      <c r="E282" s="54"/>
      <c r="F282" s="54"/>
      <c r="G282" s="58"/>
      <c r="I282" s="58"/>
      <c r="J282" s="58"/>
    </row>
    <row r="283" spans="1:10" x14ac:dyDescent="0.25">
      <c r="A283" s="52"/>
      <c r="D283" s="57"/>
      <c r="E283" s="54"/>
      <c r="F283" s="54"/>
      <c r="G283" s="58"/>
      <c r="I283" s="58"/>
      <c r="J283" s="58"/>
    </row>
    <row r="284" spans="1:10" x14ac:dyDescent="0.25">
      <c r="A284" s="52"/>
      <c r="D284" s="57"/>
      <c r="E284" s="54"/>
      <c r="F284" s="54"/>
      <c r="G284" s="58"/>
      <c r="I284" s="58"/>
      <c r="J284" s="58"/>
    </row>
  </sheetData>
  <mergeCells count="1">
    <mergeCell ref="C2:G2"/>
  </mergeCells>
  <conditionalFormatting sqref="A48:A1048576 A2:A46">
    <cfRule type="cellIs" dxfId="13" priority="73" operator="equal">
      <formula>$K$2</formula>
    </cfRule>
    <cfRule type="cellIs" dxfId="12" priority="74" operator="lessThan">
      <formula>$B$2</formula>
    </cfRule>
    <cfRule type="cellIs" dxfId="11" priority="75" operator="equal">
      <formula>$B$2</formula>
    </cfRule>
  </conditionalFormatting>
  <dataValidations count="4">
    <dataValidation type="list" allowBlank="1" showInputMessage="1" showErrorMessage="1" sqref="E4:E46">
      <formula1>Priorité</formula1>
    </dataValidation>
    <dataValidation type="list" allowBlank="1" showInputMessage="1" showErrorMessage="1" sqref="C4:C46">
      <formula1>SousCaté</formula1>
    </dataValidation>
    <dataValidation type="list" allowBlank="1" showInputMessage="1" showErrorMessage="1" sqref="I4:I46">
      <formula1>Statut</formula1>
    </dataValidation>
    <dataValidation type="list" allowBlank="1" showInputMessage="1" showErrorMessage="1" sqref="B4:B46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2015-06-05T15:17:42Z</dcterms:modified>
</cp:coreProperties>
</file>